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KPI" sheetId="1" r:id="rId1"/>
    <sheet name="department" sheetId="3" r:id="rId2"/>
    <sheet name="job title" sheetId="4" r:id="rId3"/>
    <sheet name=" Training Completion Impact " sheetId="5" r:id="rId4"/>
    <sheet name=" Feedback &amp; Goals Relationship" sheetId="6" r:id="rId5"/>
    <sheet name=" KPI by Training S" sheetId="7" r:id="rId6"/>
    <sheet name="Top Performers Overview" sheetId="8" r:id="rId7"/>
  </sheets>
  <definedNames>
    <definedName name="KPI">KPI!$A$2:$J$101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<sst xmlns="http://schemas.openxmlformats.org/spreadsheetml/2006/main" count="564" uniqueCount="138">
  <si>
    <t>ID</t>
  </si>
  <si>
    <t>Name</t>
  </si>
  <si>
    <t>Department</t>
  </si>
  <si>
    <t>Job Title</t>
  </si>
  <si>
    <t>Goals Achieved %</t>
  </si>
  <si>
    <t>Attendance %</t>
  </si>
  <si>
    <t>Client Feedback</t>
  </si>
  <si>
    <t>Training Completed</t>
  </si>
  <si>
    <t>Overall KPI score</t>
  </si>
  <si>
    <t>Normalized KPI</t>
  </si>
  <si>
    <t>Justinian</t>
  </si>
  <si>
    <t>Sales</t>
  </si>
  <si>
    <t>Intern</t>
  </si>
  <si>
    <t>N</t>
  </si>
  <si>
    <t>Venus</t>
  </si>
  <si>
    <t>HR</t>
  </si>
  <si>
    <t>Manager</t>
  </si>
  <si>
    <t>Bernelle</t>
  </si>
  <si>
    <t>Analyst</t>
  </si>
  <si>
    <t>Alec</t>
  </si>
  <si>
    <t>Executive</t>
  </si>
  <si>
    <t>Y</t>
  </si>
  <si>
    <t>Keelia</t>
  </si>
  <si>
    <t>Finance</t>
  </si>
  <si>
    <t>Codi</t>
  </si>
  <si>
    <t>Director</t>
  </si>
  <si>
    <t>Alejandra</t>
  </si>
  <si>
    <t>Keary</t>
  </si>
  <si>
    <t>Brandy</t>
  </si>
  <si>
    <t>Marketing</t>
  </si>
  <si>
    <t>Sloane</t>
  </si>
  <si>
    <t>IT</t>
  </si>
  <si>
    <t>Leone</t>
  </si>
  <si>
    <t>Raynard</t>
  </si>
  <si>
    <t>Sybil</t>
  </si>
  <si>
    <t>Carmita</t>
  </si>
  <si>
    <t>Vittorio</t>
  </si>
  <si>
    <t>Tan</t>
  </si>
  <si>
    <t>Wilbert</t>
  </si>
  <si>
    <t>Arch</t>
  </si>
  <si>
    <t>Miof mela</t>
  </si>
  <si>
    <t>Loy</t>
  </si>
  <si>
    <t>Chloette</t>
  </si>
  <si>
    <t>Tucky</t>
  </si>
  <si>
    <t>Garret</t>
  </si>
  <si>
    <t>Flory</t>
  </si>
  <si>
    <t>Kennett</t>
  </si>
  <si>
    <t>Franz</t>
  </si>
  <si>
    <t>Olympe</t>
  </si>
  <si>
    <t>Dehlia</t>
  </si>
  <si>
    <t>Ginni</t>
  </si>
  <si>
    <t>Kendell</t>
  </si>
  <si>
    <t>Julianne</t>
  </si>
  <si>
    <t>Odille</t>
  </si>
  <si>
    <t>Aldin</t>
  </si>
  <si>
    <t>Doll</t>
  </si>
  <si>
    <t>Noellyn</t>
  </si>
  <si>
    <t>Timotheus</t>
  </si>
  <si>
    <t>Jeri</t>
  </si>
  <si>
    <t>Clerissa</t>
  </si>
  <si>
    <t>Kiah</t>
  </si>
  <si>
    <t>Maye</t>
  </si>
  <si>
    <t>Colline</t>
  </si>
  <si>
    <t>Hillary</t>
  </si>
  <si>
    <t>Davin</t>
  </si>
  <si>
    <t>Gilemette</t>
  </si>
  <si>
    <t>Lorry</t>
  </si>
  <si>
    <t>Boris</t>
  </si>
  <si>
    <t>Manon</t>
  </si>
  <si>
    <t>Celinda</t>
  </si>
  <si>
    <t>Katti</t>
  </si>
  <si>
    <t>Doralynne</t>
  </si>
  <si>
    <t>Pat</t>
  </si>
  <si>
    <t>Benson</t>
  </si>
  <si>
    <t>Etienne</t>
  </si>
  <si>
    <t>Sarita</t>
  </si>
  <si>
    <t>Glenn</t>
  </si>
  <si>
    <t>Karole</t>
  </si>
  <si>
    <t>Hillier</t>
  </si>
  <si>
    <t>Cloe</t>
  </si>
  <si>
    <t>Sophia</t>
  </si>
  <si>
    <t>Blondelle</t>
  </si>
  <si>
    <t>Alisander</t>
  </si>
  <si>
    <t>Janeta</t>
  </si>
  <si>
    <t>Viviene</t>
  </si>
  <si>
    <t>Peyton</t>
  </si>
  <si>
    <t>Saloma</t>
  </si>
  <si>
    <t>Denni</t>
  </si>
  <si>
    <t>Alric</t>
  </si>
  <si>
    <t>Floria</t>
  </si>
  <si>
    <t>Ellery</t>
  </si>
  <si>
    <t>Mordecai</t>
  </si>
  <si>
    <t>Jobye</t>
  </si>
  <si>
    <t>Syd</t>
  </si>
  <si>
    <t>Holli</t>
  </si>
  <si>
    <t>Carlo</t>
  </si>
  <si>
    <t>Umeko</t>
  </si>
  <si>
    <t>Hedwig</t>
  </si>
  <si>
    <t>Hilary</t>
  </si>
  <si>
    <t>Etty</t>
  </si>
  <si>
    <t>Kristien</t>
  </si>
  <si>
    <t>Sandye</t>
  </si>
  <si>
    <t>Aldric</t>
  </si>
  <si>
    <t>Leia</t>
  </si>
  <si>
    <t>Derk</t>
  </si>
  <si>
    <t>Mellisa</t>
  </si>
  <si>
    <t>Algernon</t>
  </si>
  <si>
    <t>Lynne</t>
  </si>
  <si>
    <t>Husain</t>
  </si>
  <si>
    <t>Armand</t>
  </si>
  <si>
    <t>Dot</t>
  </si>
  <si>
    <t>Shawna</t>
  </si>
  <si>
    <t>Juan</t>
  </si>
  <si>
    <t>Frasco</t>
  </si>
  <si>
    <t>Agosto</t>
  </si>
  <si>
    <t>Marice</t>
  </si>
  <si>
    <t>Alexei</t>
  </si>
  <si>
    <t>Cherice</t>
  </si>
  <si>
    <t>Isacco</t>
  </si>
  <si>
    <t>Shanan</t>
  </si>
  <si>
    <t>Francene</t>
  </si>
  <si>
    <t>Sharl</t>
  </si>
  <si>
    <t>Average of Overall KPI score</t>
  </si>
  <si>
    <t>Grand Total</t>
  </si>
  <si>
    <t>Sum of Overall KPI score</t>
  </si>
  <si>
    <t>50-59</t>
  </si>
  <si>
    <t>60-69</t>
  </si>
  <si>
    <t>70-79</t>
  </si>
  <si>
    <t>80-89</t>
  </si>
  <si>
    <t>90-100</t>
  </si>
  <si>
    <t>3.7-3.8</t>
  </si>
  <si>
    <t>3.8-3.9</t>
  </si>
  <si>
    <t>4-4.1</t>
  </si>
  <si>
    <t>4.2-4.3</t>
  </si>
  <si>
    <t>4.4-4.5</t>
  </si>
  <si>
    <t>4.5-4.6</t>
  </si>
  <si>
    <t>4.9-5</t>
  </si>
  <si>
    <t>5.9-6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</si>
</sst>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 DATA.xlsx]department!PivotTable1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department!$A$4:$A$9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department!$B$4:$B$9</c:f>
              <c:numCache>
                <c:formatCode>General</c:formatCode>
                <c:ptCount val="5"/>
                <c:pt idx="0">
                  <c:v>46.3214285714286</c:v>
                </c:pt>
                <c:pt idx="1">
                  <c:v>44.225</c:v>
                </c:pt>
                <c:pt idx="2">
                  <c:v>48.21875</c:v>
                </c:pt>
                <c:pt idx="3">
                  <c:v>44.456</c:v>
                </c:pt>
                <c:pt idx="4">
                  <c:v>46.2647058823529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7887552"/>
        <c:axId val="667883952"/>
      </c:barChart>
      <c:catAx>
        <c:axId val="66788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883952"/>
        <c:crosses val="autoZero"/>
        <c:auto val="1"/>
        <c:lblAlgn val="ctr"/>
        <c:lblOffset val="100"/>
        <c:noMultiLvlLbl val="0"/>
      </c:catAx>
      <c:valAx>
        <c:axId val="66788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8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152cd1-7f9d-4395-857e-06f6230e3b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 DATA.xlsx] Training Completion Impact !PivotTable3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 Training Completion Impact '!$D$6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 Training Completion Impact '!$C$7:$C$9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 Training Completion Impact '!$D$7:$D$9</c:f>
              <c:numCache>
                <c:formatCode>General</c:formatCode>
                <c:ptCount val="2"/>
                <c:pt idx="0">
                  <c:v>45.9409836065574</c:v>
                </c:pt>
                <c:pt idx="1">
                  <c:v>44.9692307692308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f833f7-c390-407e-8011-c2f0d62e63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590550</xdr:colOff>
      <xdr:row>4</xdr:row>
      <xdr:rowOff>60960</xdr:rowOff>
    </xdr:from>
    <xdr:to>
      <xdr:col>5</xdr:col>
      <xdr:colOff>582930</xdr:colOff>
      <xdr:row>20</xdr:row>
      <xdr:rowOff>0</xdr:rowOff>
    </xdr:to>
    <xdr:graphicFrame>
      <xdr:nvGraphicFramePr>
        <xdr:cNvPr id="2" name="Chart 1"/>
        <xdr:cNvGraphicFramePr/>
      </xdr:nvGraphicFramePr>
      <xdr:xfrm>
        <a:off x="4027170" y="7620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453390</xdr:colOff>
      <xdr:row>10</xdr:row>
      <xdr:rowOff>68580</xdr:rowOff>
    </xdr:from>
    <xdr:to>
      <xdr:col>5</xdr:col>
      <xdr:colOff>201930</xdr:colOff>
      <xdr:row>26</xdr:row>
      <xdr:rowOff>7620</xdr:rowOff>
    </xdr:to>
    <xdr:graphicFrame>
      <xdr:nvGraphicFramePr>
        <xdr:cNvPr id="2" name="Chart 1"/>
        <xdr:cNvGraphicFramePr/>
      </xdr:nvGraphicFramePr>
      <xdr:xfrm>
        <a:off x="1794510" y="182118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57.4115277778" refreshedBy="pteja" recordCount="100">
  <cacheSource type="worksheet">
    <worksheetSource name="Table1"/>
  </cacheSource>
  <cacheFields count="9">
    <cacheField name="ID" numFmtId="0">
      <sharedItems containsSemiMixedTypes="0" containsString="0" containsNumber="1" containsInteger="1" minValue="0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Name" numFmtId="0">
      <sharedItems count="100">
        <s v="Justinian"/>
        <s v="Venus"/>
        <s v="Bernelle"/>
        <s v="Alec"/>
        <s v="Keelia"/>
        <s v="Codi"/>
        <s v="Alejandra"/>
        <s v="Keary"/>
        <s v="Brandy"/>
        <s v="Sloane"/>
        <s v="Leone"/>
        <s v="Raynard"/>
        <s v="Sybil"/>
        <s v="Carmita"/>
        <s v="Vittorio"/>
        <s v="Tan"/>
        <s v="Wilbert"/>
        <s v="Arch"/>
        <s v="Miof mela"/>
        <s v="Loy"/>
        <s v="Chloette"/>
        <s v="Tucky"/>
        <s v="Garret"/>
        <s v="Flory"/>
        <s v="Kennett"/>
        <s v="Franz"/>
        <s v="Olympe"/>
        <s v="Dehlia"/>
        <s v="Ginni"/>
        <s v="Kendell"/>
        <s v="Julianne"/>
        <s v="Odille"/>
        <s v="Aldin"/>
        <s v="Doll"/>
        <s v="Noellyn"/>
        <s v="Timotheus"/>
        <s v="Jeri"/>
        <s v="Clerissa"/>
        <s v="Kiah"/>
        <s v="Maye"/>
        <s v="Colline"/>
        <s v="Hillary"/>
        <s v="Davin"/>
        <s v="Gilemette"/>
        <s v="Lorry"/>
        <s v="Boris"/>
        <s v="Manon"/>
        <s v="Celinda"/>
        <s v="Katti"/>
        <s v="Doralynne"/>
        <s v="Pat"/>
        <s v="Benson"/>
        <s v="Etienne"/>
        <s v="Sarita"/>
        <s v="Glenn"/>
        <s v="Karole"/>
        <s v="Hillier"/>
        <s v="Cloe"/>
        <s v="Sophia"/>
        <s v="Blondelle"/>
        <s v="Alisander"/>
        <s v="Janeta"/>
        <s v="Viviene"/>
        <s v="Peyton"/>
        <s v="Saloma"/>
        <s v="Denni"/>
        <s v="Alric"/>
        <s v="Floria"/>
        <s v="Ellery"/>
        <s v="Mordecai"/>
        <s v="Jobye"/>
        <s v="Syd"/>
        <s v="Holli"/>
        <s v="Carlo"/>
        <s v="Umeko"/>
        <s v="Hedwig"/>
        <s v="Hilary"/>
        <s v="Etty"/>
        <s v="Kristien"/>
        <s v="Sandye"/>
        <s v="Aldric"/>
        <s v="Leia"/>
        <s v="Derk"/>
        <s v="Mellisa"/>
        <s v="Algernon"/>
        <s v="Lynne"/>
        <s v="Husain"/>
        <s v="Armand"/>
        <s v="Dot"/>
        <s v="Shawna"/>
        <s v="Juan"/>
        <s v="Frasco"/>
        <s v="Agosto"/>
        <s v="Marice"/>
        <s v="Alexei"/>
        <s v="Cherice"/>
        <s v="Isacco"/>
        <s v="Shanan"/>
        <s v="Francene"/>
        <s v="Sharl"/>
      </sharedItems>
    </cacheField>
    <cacheField name="Department" numFmtId="0">
      <sharedItems count="5">
        <s v="Sales"/>
        <s v="HR"/>
        <s v="Finance"/>
        <s v="Marketing"/>
        <s v="IT"/>
      </sharedItems>
    </cacheField>
    <cacheField name="Job Title" numFmtId="0">
      <sharedItems count="5">
        <s v="Intern"/>
        <s v="Manager"/>
        <s v="Analyst"/>
        <s v="Executive"/>
        <s v="Director"/>
      </sharedItems>
    </cacheField>
    <cacheField name="Goals Achieved %" numFmtId="0">
      <sharedItems containsSemiMixedTypes="0" containsString="0" containsNumber="1" containsInteger="1" minValue="0" maxValue="98" count="10">
        <n v="98"/>
        <n v="80"/>
        <n v="60"/>
        <n v="90"/>
        <n v="75"/>
        <n v="55"/>
        <n v="65"/>
        <n v="85"/>
        <n v="70"/>
        <n v="50"/>
      </sharedItems>
      <fieldGroup base="4">
        <rangePr autoEnd="0" startNum="0" endNum="100" groupInterval="10"/>
        <groupItems count="7">
          <s v="&lt;50"/>
          <s v="50-59"/>
          <s v="60-69"/>
          <s v="70-79"/>
          <s v="80-89"/>
          <s v="90-100"/>
          <s v="&gt;100"/>
        </groupItems>
      </fieldGroup>
    </cacheField>
    <cacheField name="Attendance %" numFmtId="0">
      <sharedItems containsSemiMixedTypes="0" containsString="0" containsNumber="1" containsInteger="1" minValue="0" maxValue="98" count="11">
        <n v="98"/>
        <n v="40"/>
        <n v="85"/>
        <n v="60"/>
        <n v="50"/>
        <n v="80"/>
        <n v="45"/>
        <n v="65"/>
        <n v="70"/>
        <n v="55"/>
        <n v="75"/>
      </sharedItems>
    </cacheField>
    <cacheField name="Client Feedback" numFmtId="0">
      <sharedItems containsSemiMixedTypes="0" containsString="0" containsNumber="1" minValue="0" maxValue="6" count="9">
        <n v="4.4"/>
        <n v="6"/>
        <n v="4.9"/>
        <n v="4"/>
        <n v="3.7"/>
        <n v="4.5"/>
        <n v="4.2"/>
        <n v="3.9"/>
        <n v="3.8"/>
      </sharedItems>
      <fieldGroup base="6">
        <rangePr startNum="0" endNum="6" groupInterval="0.1"/>
        <groupItems count="25">
          <s v="&lt;3.7"/>
          <s v="3.7-3.8"/>
          <s v="3.8-3.9"/>
          <s v="3.9-4"/>
          <s v="4-4.1"/>
          <s v="4.1-4.2"/>
          <s v="4.2-4.3"/>
          <s v="4.3-4.4"/>
          <s v="4.4-4.5"/>
          <s v="4.5-4.6"/>
          <s v="4.6-4.7"/>
          <s v="4.7-4.8"/>
          <s v="4.8-4.9"/>
          <s v="4.9-5"/>
          <s v="5-5.1"/>
          <s v="5.1-5.2"/>
          <s v="5.2-5.3"/>
          <s v="5.3-5.4"/>
          <s v="5.4-5.5"/>
          <s v="5.5-5.6"/>
          <s v="5.6-5.7"/>
          <s v="5.7-5.8"/>
          <s v="5.8-5.9"/>
          <s v="5.9-6"/>
          <s v="&gt;6"/>
        </groupItems>
      </fieldGroup>
    </cacheField>
    <cacheField name="Training Completed" numFmtId="0">
      <sharedItems count="2">
        <s v="N"/>
        <s v="Y"/>
      </sharedItems>
    </cacheField>
    <cacheField name="Overall KPI score" numFmtId="0">
      <sharedItems containsSemiMixedTypes="0" containsString="0" containsNumber="1" minValue="0" maxValue="63.2" count="71">
        <n v="63.2"/>
        <n v="46"/>
        <n v="36.4"/>
        <n v="54.4"/>
        <n v="52"/>
        <n v="44.2"/>
        <n v="42.5"/>
        <n v="41"/>
        <n v="42.7"/>
        <n v="55.5"/>
        <n v="40.4"/>
        <n v="45"/>
        <n v="34.2"/>
        <n v="45.3"/>
        <n v="50"/>
        <n v="43.9"/>
        <n v="43.7"/>
        <n v="48"/>
        <n v="47.2"/>
        <n v="52.3"/>
        <n v="49.2"/>
        <n v="59"/>
        <n v="45.5"/>
        <n v="48.2"/>
        <n v="39"/>
        <n v="51"/>
        <n v="41.5"/>
        <n v="43.4"/>
        <n v="44"/>
        <n v="41.2"/>
        <n v="44.4"/>
        <n v="42.9"/>
        <n v="43"/>
        <n v="52.9"/>
        <n v="40"/>
        <n v="48.8"/>
        <n v="47.3"/>
        <n v="39.8"/>
        <n v="52.2"/>
        <n v="37"/>
        <n v="45.7"/>
        <n v="53.9"/>
        <n v="47.5"/>
        <n v="48.5"/>
        <n v="37.5"/>
        <n v="44.5"/>
        <n v="38.4"/>
        <n v="54.5"/>
        <n v="52.7"/>
        <n v="34.5"/>
        <n v="41.4"/>
        <n v="55.9"/>
        <n v="51.5"/>
        <n v="46.4"/>
        <n v="50.5"/>
        <n v="40.2"/>
        <n v="36.5"/>
        <n v="33.7"/>
        <n v="55"/>
        <n v="36.8"/>
        <n v="35.9"/>
        <n v="49.4"/>
        <n v="50.4"/>
        <n v="50.7"/>
        <n v="47.7"/>
        <n v="32.4"/>
        <n v="37.4"/>
        <n v="48.9"/>
        <n v="49.9"/>
        <n v="51.4"/>
        <n v="43.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</r>
  <r>
    <x v="2"/>
    <x v="2"/>
    <x v="0"/>
    <x v="2"/>
    <x v="2"/>
    <x v="1"/>
    <x v="0"/>
    <x v="0"/>
    <x v="2"/>
  </r>
  <r>
    <x v="3"/>
    <x v="3"/>
    <x v="0"/>
    <x v="3"/>
    <x v="1"/>
    <x v="2"/>
    <x v="2"/>
    <x v="1"/>
    <x v="3"/>
  </r>
  <r>
    <x v="4"/>
    <x v="4"/>
    <x v="2"/>
    <x v="3"/>
    <x v="3"/>
    <x v="3"/>
    <x v="3"/>
    <x v="0"/>
    <x v="4"/>
  </r>
  <r>
    <x v="5"/>
    <x v="5"/>
    <x v="2"/>
    <x v="4"/>
    <x v="4"/>
    <x v="4"/>
    <x v="4"/>
    <x v="1"/>
    <x v="5"/>
  </r>
  <r>
    <x v="6"/>
    <x v="6"/>
    <x v="0"/>
    <x v="0"/>
    <x v="5"/>
    <x v="5"/>
    <x v="5"/>
    <x v="0"/>
    <x v="6"/>
  </r>
  <r>
    <x v="7"/>
    <x v="7"/>
    <x v="0"/>
    <x v="2"/>
    <x v="6"/>
    <x v="6"/>
    <x v="1"/>
    <x v="0"/>
    <x v="7"/>
  </r>
  <r>
    <x v="8"/>
    <x v="8"/>
    <x v="3"/>
    <x v="2"/>
    <x v="5"/>
    <x v="5"/>
    <x v="6"/>
    <x v="1"/>
    <x v="8"/>
  </r>
  <r>
    <x v="9"/>
    <x v="9"/>
    <x v="4"/>
    <x v="3"/>
    <x v="7"/>
    <x v="2"/>
    <x v="5"/>
    <x v="0"/>
    <x v="9"/>
  </r>
  <r>
    <x v="10"/>
    <x v="10"/>
    <x v="1"/>
    <x v="3"/>
    <x v="6"/>
    <x v="4"/>
    <x v="7"/>
    <x v="1"/>
    <x v="10"/>
  </r>
  <r>
    <x v="11"/>
    <x v="11"/>
    <x v="2"/>
    <x v="1"/>
    <x v="8"/>
    <x v="7"/>
    <x v="3"/>
    <x v="0"/>
    <x v="11"/>
  </r>
  <r>
    <x v="12"/>
    <x v="12"/>
    <x v="3"/>
    <x v="3"/>
    <x v="5"/>
    <x v="1"/>
    <x v="6"/>
    <x v="0"/>
    <x v="12"/>
  </r>
  <r>
    <x v="13"/>
    <x v="13"/>
    <x v="3"/>
    <x v="2"/>
    <x v="2"/>
    <x v="2"/>
    <x v="8"/>
    <x v="1"/>
    <x v="13"/>
  </r>
  <r>
    <x v="14"/>
    <x v="14"/>
    <x v="0"/>
    <x v="3"/>
    <x v="3"/>
    <x v="1"/>
    <x v="1"/>
    <x v="0"/>
    <x v="14"/>
  </r>
  <r>
    <x v="15"/>
    <x v="15"/>
    <x v="3"/>
    <x v="4"/>
    <x v="2"/>
    <x v="5"/>
    <x v="7"/>
    <x v="0"/>
    <x v="15"/>
  </r>
  <r>
    <x v="16"/>
    <x v="16"/>
    <x v="2"/>
    <x v="3"/>
    <x v="8"/>
    <x v="3"/>
    <x v="4"/>
    <x v="0"/>
    <x v="16"/>
  </r>
  <r>
    <x v="17"/>
    <x v="17"/>
    <x v="2"/>
    <x v="0"/>
    <x v="4"/>
    <x v="3"/>
    <x v="1"/>
    <x v="0"/>
    <x v="17"/>
  </r>
  <r>
    <x v="18"/>
    <x v="18"/>
    <x v="1"/>
    <x v="0"/>
    <x v="4"/>
    <x v="7"/>
    <x v="6"/>
    <x v="0"/>
    <x v="18"/>
  </r>
  <r>
    <x v="19"/>
    <x v="19"/>
    <x v="4"/>
    <x v="0"/>
    <x v="7"/>
    <x v="8"/>
    <x v="8"/>
    <x v="1"/>
    <x v="19"/>
  </r>
  <r>
    <x v="20"/>
    <x v="20"/>
    <x v="1"/>
    <x v="2"/>
    <x v="7"/>
    <x v="9"/>
    <x v="6"/>
    <x v="0"/>
    <x v="20"/>
  </r>
  <r>
    <x v="21"/>
    <x v="21"/>
    <x v="3"/>
    <x v="2"/>
    <x v="3"/>
    <x v="2"/>
    <x v="1"/>
    <x v="0"/>
    <x v="21"/>
  </r>
  <r>
    <x v="22"/>
    <x v="22"/>
    <x v="4"/>
    <x v="3"/>
    <x v="2"/>
    <x v="10"/>
    <x v="1"/>
    <x v="1"/>
    <x v="22"/>
  </r>
  <r>
    <x v="23"/>
    <x v="23"/>
    <x v="1"/>
    <x v="3"/>
    <x v="8"/>
    <x v="5"/>
    <x v="6"/>
    <x v="0"/>
    <x v="23"/>
  </r>
  <r>
    <x v="24"/>
    <x v="24"/>
    <x v="1"/>
    <x v="4"/>
    <x v="5"/>
    <x v="7"/>
    <x v="3"/>
    <x v="0"/>
    <x v="24"/>
  </r>
  <r>
    <x v="25"/>
    <x v="25"/>
    <x v="1"/>
    <x v="0"/>
    <x v="3"/>
    <x v="9"/>
    <x v="3"/>
    <x v="0"/>
    <x v="25"/>
  </r>
  <r>
    <x v="26"/>
    <x v="26"/>
    <x v="3"/>
    <x v="0"/>
    <x v="8"/>
    <x v="6"/>
    <x v="5"/>
    <x v="0"/>
    <x v="26"/>
  </r>
  <r>
    <x v="27"/>
    <x v="27"/>
    <x v="4"/>
    <x v="2"/>
    <x v="5"/>
    <x v="5"/>
    <x v="2"/>
    <x v="1"/>
    <x v="27"/>
  </r>
  <r>
    <x v="28"/>
    <x v="28"/>
    <x v="1"/>
    <x v="3"/>
    <x v="6"/>
    <x v="8"/>
    <x v="3"/>
    <x v="0"/>
    <x v="28"/>
  </r>
  <r>
    <x v="29"/>
    <x v="29"/>
    <x v="3"/>
    <x v="0"/>
    <x v="5"/>
    <x v="6"/>
    <x v="2"/>
    <x v="1"/>
    <x v="2"/>
  </r>
  <r>
    <x v="30"/>
    <x v="30"/>
    <x v="3"/>
    <x v="2"/>
    <x v="6"/>
    <x v="9"/>
    <x v="4"/>
    <x v="1"/>
    <x v="29"/>
  </r>
  <r>
    <x v="31"/>
    <x v="31"/>
    <x v="0"/>
    <x v="3"/>
    <x v="8"/>
    <x v="3"/>
    <x v="7"/>
    <x v="1"/>
    <x v="30"/>
  </r>
  <r>
    <x v="32"/>
    <x v="32"/>
    <x v="1"/>
    <x v="2"/>
    <x v="8"/>
    <x v="9"/>
    <x v="7"/>
    <x v="0"/>
    <x v="31"/>
  </r>
  <r>
    <x v="33"/>
    <x v="33"/>
    <x v="3"/>
    <x v="1"/>
    <x v="5"/>
    <x v="10"/>
    <x v="1"/>
    <x v="0"/>
    <x v="32"/>
  </r>
  <r>
    <x v="34"/>
    <x v="34"/>
    <x v="4"/>
    <x v="1"/>
    <x v="3"/>
    <x v="7"/>
    <x v="7"/>
    <x v="0"/>
    <x v="33"/>
  </r>
  <r>
    <x v="35"/>
    <x v="35"/>
    <x v="1"/>
    <x v="1"/>
    <x v="5"/>
    <x v="7"/>
    <x v="5"/>
    <x v="1"/>
    <x v="34"/>
  </r>
  <r>
    <x v="36"/>
    <x v="36"/>
    <x v="3"/>
    <x v="0"/>
    <x v="7"/>
    <x v="9"/>
    <x v="8"/>
    <x v="0"/>
    <x v="35"/>
  </r>
  <r>
    <x v="37"/>
    <x v="37"/>
    <x v="4"/>
    <x v="3"/>
    <x v="7"/>
    <x v="6"/>
    <x v="8"/>
    <x v="1"/>
    <x v="36"/>
  </r>
  <r>
    <x v="38"/>
    <x v="38"/>
    <x v="2"/>
    <x v="0"/>
    <x v="2"/>
    <x v="3"/>
    <x v="8"/>
    <x v="0"/>
    <x v="37"/>
  </r>
  <r>
    <x v="39"/>
    <x v="39"/>
    <x v="4"/>
    <x v="4"/>
    <x v="3"/>
    <x v="3"/>
    <x v="6"/>
    <x v="0"/>
    <x v="38"/>
  </r>
  <r>
    <x v="40"/>
    <x v="40"/>
    <x v="0"/>
    <x v="1"/>
    <x v="9"/>
    <x v="3"/>
    <x v="5"/>
    <x v="1"/>
    <x v="39"/>
  </r>
  <r>
    <x v="41"/>
    <x v="41"/>
    <x v="1"/>
    <x v="0"/>
    <x v="2"/>
    <x v="7"/>
    <x v="3"/>
    <x v="0"/>
    <x v="7"/>
  </r>
  <r>
    <x v="42"/>
    <x v="42"/>
    <x v="0"/>
    <x v="3"/>
    <x v="8"/>
    <x v="9"/>
    <x v="7"/>
    <x v="0"/>
    <x v="31"/>
  </r>
  <r>
    <x v="43"/>
    <x v="43"/>
    <x v="3"/>
    <x v="1"/>
    <x v="6"/>
    <x v="10"/>
    <x v="6"/>
    <x v="1"/>
    <x v="40"/>
  </r>
  <r>
    <x v="44"/>
    <x v="44"/>
    <x v="1"/>
    <x v="0"/>
    <x v="3"/>
    <x v="7"/>
    <x v="0"/>
    <x v="1"/>
    <x v="41"/>
  </r>
  <r>
    <x v="45"/>
    <x v="45"/>
    <x v="2"/>
    <x v="2"/>
    <x v="1"/>
    <x v="9"/>
    <x v="5"/>
    <x v="0"/>
    <x v="42"/>
  </r>
  <r>
    <x v="46"/>
    <x v="46"/>
    <x v="4"/>
    <x v="4"/>
    <x v="4"/>
    <x v="8"/>
    <x v="5"/>
    <x v="0"/>
    <x v="43"/>
  </r>
  <r>
    <x v="47"/>
    <x v="47"/>
    <x v="1"/>
    <x v="3"/>
    <x v="5"/>
    <x v="9"/>
    <x v="3"/>
    <x v="1"/>
    <x v="44"/>
  </r>
  <r>
    <x v="48"/>
    <x v="48"/>
    <x v="3"/>
    <x v="0"/>
    <x v="6"/>
    <x v="8"/>
    <x v="3"/>
    <x v="1"/>
    <x v="45"/>
  </r>
  <r>
    <x v="49"/>
    <x v="49"/>
    <x v="3"/>
    <x v="0"/>
    <x v="2"/>
    <x v="4"/>
    <x v="7"/>
    <x v="1"/>
    <x v="46"/>
  </r>
  <r>
    <x v="50"/>
    <x v="50"/>
    <x v="3"/>
    <x v="4"/>
    <x v="3"/>
    <x v="8"/>
    <x v="5"/>
    <x v="0"/>
    <x v="47"/>
  </r>
  <r>
    <x v="51"/>
    <x v="51"/>
    <x v="4"/>
    <x v="3"/>
    <x v="8"/>
    <x v="3"/>
    <x v="4"/>
    <x v="1"/>
    <x v="5"/>
  </r>
  <r>
    <x v="52"/>
    <x v="52"/>
    <x v="1"/>
    <x v="2"/>
    <x v="1"/>
    <x v="2"/>
    <x v="4"/>
    <x v="0"/>
    <x v="48"/>
  </r>
  <r>
    <x v="53"/>
    <x v="53"/>
    <x v="3"/>
    <x v="2"/>
    <x v="5"/>
    <x v="1"/>
    <x v="5"/>
    <x v="0"/>
    <x v="49"/>
  </r>
  <r>
    <x v="54"/>
    <x v="54"/>
    <x v="2"/>
    <x v="3"/>
    <x v="6"/>
    <x v="8"/>
    <x v="7"/>
    <x v="0"/>
    <x v="15"/>
  </r>
  <r>
    <x v="55"/>
    <x v="55"/>
    <x v="0"/>
    <x v="2"/>
    <x v="6"/>
    <x v="4"/>
    <x v="2"/>
    <x v="1"/>
    <x v="50"/>
  </r>
  <r>
    <x v="56"/>
    <x v="56"/>
    <x v="2"/>
    <x v="3"/>
    <x v="1"/>
    <x v="9"/>
    <x v="8"/>
    <x v="1"/>
    <x v="36"/>
  </r>
  <r>
    <x v="57"/>
    <x v="57"/>
    <x v="1"/>
    <x v="1"/>
    <x v="3"/>
    <x v="7"/>
    <x v="2"/>
    <x v="1"/>
    <x v="3"/>
  </r>
  <r>
    <x v="58"/>
    <x v="58"/>
    <x v="3"/>
    <x v="1"/>
    <x v="7"/>
    <x v="2"/>
    <x v="2"/>
    <x v="0"/>
    <x v="51"/>
  </r>
  <r>
    <x v="59"/>
    <x v="59"/>
    <x v="0"/>
    <x v="0"/>
    <x v="7"/>
    <x v="7"/>
    <x v="3"/>
    <x v="1"/>
    <x v="52"/>
  </r>
  <r>
    <x v="60"/>
    <x v="60"/>
    <x v="0"/>
    <x v="3"/>
    <x v="7"/>
    <x v="1"/>
    <x v="0"/>
    <x v="0"/>
    <x v="53"/>
  </r>
  <r>
    <x v="61"/>
    <x v="61"/>
    <x v="1"/>
    <x v="4"/>
    <x v="7"/>
    <x v="8"/>
    <x v="8"/>
    <x v="1"/>
    <x v="19"/>
  </r>
  <r>
    <x v="62"/>
    <x v="62"/>
    <x v="1"/>
    <x v="4"/>
    <x v="1"/>
    <x v="6"/>
    <x v="5"/>
    <x v="1"/>
    <x v="1"/>
  </r>
  <r>
    <x v="63"/>
    <x v="63"/>
    <x v="1"/>
    <x v="0"/>
    <x v="4"/>
    <x v="6"/>
    <x v="7"/>
    <x v="0"/>
    <x v="31"/>
  </r>
  <r>
    <x v="64"/>
    <x v="64"/>
    <x v="1"/>
    <x v="4"/>
    <x v="4"/>
    <x v="5"/>
    <x v="5"/>
    <x v="0"/>
    <x v="54"/>
  </r>
  <r>
    <x v="65"/>
    <x v="65"/>
    <x v="3"/>
    <x v="0"/>
    <x v="3"/>
    <x v="1"/>
    <x v="3"/>
    <x v="0"/>
    <x v="17"/>
  </r>
  <r>
    <x v="66"/>
    <x v="66"/>
    <x v="3"/>
    <x v="2"/>
    <x v="6"/>
    <x v="4"/>
    <x v="4"/>
    <x v="1"/>
    <x v="55"/>
  </r>
  <r>
    <x v="67"/>
    <x v="67"/>
    <x v="4"/>
    <x v="4"/>
    <x v="6"/>
    <x v="9"/>
    <x v="3"/>
    <x v="1"/>
    <x v="26"/>
  </r>
  <r>
    <x v="68"/>
    <x v="68"/>
    <x v="2"/>
    <x v="1"/>
    <x v="8"/>
    <x v="5"/>
    <x v="5"/>
    <x v="0"/>
    <x v="43"/>
  </r>
  <r>
    <x v="69"/>
    <x v="69"/>
    <x v="0"/>
    <x v="4"/>
    <x v="9"/>
    <x v="3"/>
    <x v="3"/>
    <x v="1"/>
    <x v="56"/>
  </r>
  <r>
    <x v="70"/>
    <x v="70"/>
    <x v="1"/>
    <x v="2"/>
    <x v="9"/>
    <x v="4"/>
    <x v="4"/>
    <x v="0"/>
    <x v="57"/>
  </r>
  <r>
    <x v="71"/>
    <x v="71"/>
    <x v="2"/>
    <x v="4"/>
    <x v="3"/>
    <x v="7"/>
    <x v="1"/>
    <x v="0"/>
    <x v="58"/>
  </r>
  <r>
    <x v="72"/>
    <x v="72"/>
    <x v="1"/>
    <x v="2"/>
    <x v="5"/>
    <x v="9"/>
    <x v="8"/>
    <x v="0"/>
    <x v="59"/>
  </r>
  <r>
    <x v="73"/>
    <x v="73"/>
    <x v="2"/>
    <x v="3"/>
    <x v="5"/>
    <x v="10"/>
    <x v="1"/>
    <x v="0"/>
    <x v="32"/>
  </r>
  <r>
    <x v="74"/>
    <x v="74"/>
    <x v="3"/>
    <x v="4"/>
    <x v="9"/>
    <x v="9"/>
    <x v="2"/>
    <x v="0"/>
    <x v="60"/>
  </r>
  <r>
    <x v="75"/>
    <x v="75"/>
    <x v="4"/>
    <x v="1"/>
    <x v="3"/>
    <x v="1"/>
    <x v="2"/>
    <x v="1"/>
    <x v="61"/>
  </r>
  <r>
    <x v="76"/>
    <x v="76"/>
    <x v="2"/>
    <x v="4"/>
    <x v="6"/>
    <x v="4"/>
    <x v="6"/>
    <x v="0"/>
    <x v="55"/>
  </r>
  <r>
    <x v="77"/>
    <x v="77"/>
    <x v="2"/>
    <x v="3"/>
    <x v="4"/>
    <x v="5"/>
    <x v="0"/>
    <x v="0"/>
    <x v="62"/>
  </r>
  <r>
    <x v="78"/>
    <x v="78"/>
    <x v="1"/>
    <x v="0"/>
    <x v="3"/>
    <x v="4"/>
    <x v="6"/>
    <x v="1"/>
    <x v="63"/>
  </r>
  <r>
    <x v="79"/>
    <x v="79"/>
    <x v="4"/>
    <x v="2"/>
    <x v="3"/>
    <x v="1"/>
    <x v="4"/>
    <x v="0"/>
    <x v="64"/>
  </r>
  <r>
    <x v="80"/>
    <x v="80"/>
    <x v="3"/>
    <x v="3"/>
    <x v="6"/>
    <x v="8"/>
    <x v="3"/>
    <x v="0"/>
    <x v="28"/>
  </r>
  <r>
    <x v="81"/>
    <x v="81"/>
    <x v="1"/>
    <x v="0"/>
    <x v="9"/>
    <x v="1"/>
    <x v="0"/>
    <x v="0"/>
    <x v="65"/>
  </r>
  <r>
    <x v="82"/>
    <x v="82"/>
    <x v="3"/>
    <x v="1"/>
    <x v="9"/>
    <x v="9"/>
    <x v="1"/>
    <x v="1"/>
    <x v="44"/>
  </r>
  <r>
    <x v="83"/>
    <x v="83"/>
    <x v="1"/>
    <x v="2"/>
    <x v="5"/>
    <x v="9"/>
    <x v="0"/>
    <x v="0"/>
    <x v="66"/>
  </r>
  <r>
    <x v="84"/>
    <x v="84"/>
    <x v="1"/>
    <x v="3"/>
    <x v="2"/>
    <x v="3"/>
    <x v="3"/>
    <x v="0"/>
    <x v="34"/>
  </r>
  <r>
    <x v="85"/>
    <x v="85"/>
    <x v="4"/>
    <x v="3"/>
    <x v="8"/>
    <x v="5"/>
    <x v="0"/>
    <x v="1"/>
    <x v="67"/>
  </r>
  <r>
    <x v="86"/>
    <x v="86"/>
    <x v="1"/>
    <x v="4"/>
    <x v="5"/>
    <x v="4"/>
    <x v="3"/>
    <x v="1"/>
    <x v="56"/>
  </r>
  <r>
    <x v="87"/>
    <x v="87"/>
    <x v="0"/>
    <x v="1"/>
    <x v="6"/>
    <x v="7"/>
    <x v="0"/>
    <x v="0"/>
    <x v="27"/>
  </r>
  <r>
    <x v="88"/>
    <x v="88"/>
    <x v="3"/>
    <x v="2"/>
    <x v="3"/>
    <x v="7"/>
    <x v="1"/>
    <x v="0"/>
    <x v="58"/>
  </r>
  <r>
    <x v="89"/>
    <x v="89"/>
    <x v="3"/>
    <x v="1"/>
    <x v="1"/>
    <x v="8"/>
    <x v="7"/>
    <x v="1"/>
    <x v="62"/>
  </r>
  <r>
    <x v="90"/>
    <x v="90"/>
    <x v="3"/>
    <x v="2"/>
    <x v="8"/>
    <x v="2"/>
    <x v="2"/>
    <x v="0"/>
    <x v="68"/>
  </r>
  <r>
    <x v="91"/>
    <x v="91"/>
    <x v="1"/>
    <x v="1"/>
    <x v="1"/>
    <x v="3"/>
    <x v="6"/>
    <x v="0"/>
    <x v="23"/>
  </r>
  <r>
    <x v="92"/>
    <x v="92"/>
    <x v="0"/>
    <x v="3"/>
    <x v="4"/>
    <x v="2"/>
    <x v="7"/>
    <x v="1"/>
    <x v="69"/>
  </r>
  <r>
    <x v="93"/>
    <x v="93"/>
    <x v="4"/>
    <x v="2"/>
    <x v="3"/>
    <x v="1"/>
    <x v="5"/>
    <x v="0"/>
    <x v="43"/>
  </r>
  <r>
    <x v="94"/>
    <x v="94"/>
    <x v="0"/>
    <x v="4"/>
    <x v="1"/>
    <x v="5"/>
    <x v="6"/>
    <x v="1"/>
    <x v="48"/>
  </r>
  <r>
    <x v="95"/>
    <x v="95"/>
    <x v="4"/>
    <x v="4"/>
    <x v="8"/>
    <x v="4"/>
    <x v="5"/>
    <x v="1"/>
    <x v="32"/>
  </r>
  <r>
    <x v="96"/>
    <x v="96"/>
    <x v="3"/>
    <x v="4"/>
    <x v="8"/>
    <x v="6"/>
    <x v="3"/>
    <x v="0"/>
    <x v="7"/>
  </r>
  <r>
    <x v="97"/>
    <x v="97"/>
    <x v="4"/>
    <x v="3"/>
    <x v="1"/>
    <x v="10"/>
    <x v="4"/>
    <x v="0"/>
    <x v="63"/>
  </r>
  <r>
    <x v="98"/>
    <x v="98"/>
    <x v="1"/>
    <x v="0"/>
    <x v="6"/>
    <x v="9"/>
    <x v="1"/>
    <x v="1"/>
    <x v="70"/>
  </r>
  <r>
    <x v="99"/>
    <x v="99"/>
    <x v="0"/>
    <x v="2"/>
    <x v="4"/>
    <x v="2"/>
    <x v="0"/>
    <x v="0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9" firstHeaderRow="1" firstDataRow="1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axis="axisRow" compact="0" showAll="0">
      <items count="6">
        <item x="2"/>
        <item x="1"/>
        <item x="4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2">
        <item x="65"/>
        <item x="57"/>
        <item x="12"/>
        <item x="49"/>
        <item x="60"/>
        <item x="2"/>
        <item x="56"/>
        <item x="59"/>
        <item x="39"/>
        <item x="66"/>
        <item x="44"/>
        <item x="46"/>
        <item x="24"/>
        <item x="37"/>
        <item x="34"/>
        <item x="55"/>
        <item x="10"/>
        <item x="7"/>
        <item x="29"/>
        <item x="50"/>
        <item x="26"/>
        <item x="6"/>
        <item x="8"/>
        <item x="31"/>
        <item x="32"/>
        <item x="27"/>
        <item x="70"/>
        <item x="16"/>
        <item x="15"/>
        <item x="28"/>
        <item x="5"/>
        <item x="30"/>
        <item x="45"/>
        <item x="11"/>
        <item x="13"/>
        <item x="22"/>
        <item x="40"/>
        <item x="1"/>
        <item x="53"/>
        <item x="18"/>
        <item x="36"/>
        <item x="42"/>
        <item x="64"/>
        <item x="17"/>
        <item x="23"/>
        <item x="43"/>
        <item x="35"/>
        <item x="67"/>
        <item x="20"/>
        <item x="61"/>
        <item x="68"/>
        <item x="14"/>
        <item x="62"/>
        <item x="54"/>
        <item x="63"/>
        <item x="25"/>
        <item x="69"/>
        <item x="52"/>
        <item x="4"/>
        <item x="38"/>
        <item x="19"/>
        <item x="48"/>
        <item x="33"/>
        <item x="41"/>
        <item x="3"/>
        <item x="47"/>
        <item x="58"/>
        <item x="9"/>
        <item x="51"/>
        <item x="2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verall KPI score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6:D12" firstHeaderRow="1" firstDataRow="1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axis="axisRow" compact="0" showAll="0">
      <items count="6">
        <item x="2"/>
        <item x="4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72">
        <item x="65"/>
        <item x="57"/>
        <item x="12"/>
        <item x="49"/>
        <item x="60"/>
        <item x="2"/>
        <item x="56"/>
        <item x="59"/>
        <item x="39"/>
        <item x="66"/>
        <item x="44"/>
        <item x="46"/>
        <item x="24"/>
        <item x="37"/>
        <item x="34"/>
        <item x="55"/>
        <item x="10"/>
        <item x="7"/>
        <item x="29"/>
        <item x="50"/>
        <item x="26"/>
        <item x="6"/>
        <item x="8"/>
        <item x="31"/>
        <item x="32"/>
        <item x="27"/>
        <item x="70"/>
        <item x="16"/>
        <item x="15"/>
        <item x="28"/>
        <item x="5"/>
        <item x="30"/>
        <item x="45"/>
        <item x="11"/>
        <item x="13"/>
        <item x="22"/>
        <item x="40"/>
        <item x="1"/>
        <item x="53"/>
        <item x="18"/>
        <item x="36"/>
        <item x="42"/>
        <item x="64"/>
        <item x="17"/>
        <item x="23"/>
        <item x="43"/>
        <item x="35"/>
        <item x="67"/>
        <item x="20"/>
        <item x="61"/>
        <item x="68"/>
        <item x="14"/>
        <item x="62"/>
        <item x="54"/>
        <item x="63"/>
        <item x="25"/>
        <item x="69"/>
        <item x="52"/>
        <item x="4"/>
        <item x="38"/>
        <item x="19"/>
        <item x="48"/>
        <item x="33"/>
        <item x="41"/>
        <item x="3"/>
        <item x="47"/>
        <item x="58"/>
        <item x="9"/>
        <item x="51"/>
        <item x="2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verall KPI score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9">
  <location ref="C6:D9" firstHeaderRow="1" firstDataRow="1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dataField="1" compact="0" showAll="0">
      <items count="72">
        <item x="65"/>
        <item x="57"/>
        <item x="12"/>
        <item x="49"/>
        <item x="60"/>
        <item x="2"/>
        <item x="56"/>
        <item x="59"/>
        <item x="39"/>
        <item x="66"/>
        <item x="44"/>
        <item x="46"/>
        <item x="24"/>
        <item x="37"/>
        <item x="34"/>
        <item x="55"/>
        <item x="10"/>
        <item x="7"/>
        <item x="29"/>
        <item x="50"/>
        <item x="26"/>
        <item x="6"/>
        <item x="8"/>
        <item x="31"/>
        <item x="32"/>
        <item x="27"/>
        <item x="70"/>
        <item x="16"/>
        <item x="15"/>
        <item x="28"/>
        <item x="5"/>
        <item x="30"/>
        <item x="45"/>
        <item x="11"/>
        <item x="13"/>
        <item x="22"/>
        <item x="40"/>
        <item x="1"/>
        <item x="53"/>
        <item x="18"/>
        <item x="36"/>
        <item x="42"/>
        <item x="64"/>
        <item x="17"/>
        <item x="23"/>
        <item x="43"/>
        <item x="35"/>
        <item x="67"/>
        <item x="20"/>
        <item x="61"/>
        <item x="68"/>
        <item x="14"/>
        <item x="62"/>
        <item x="54"/>
        <item x="63"/>
        <item x="25"/>
        <item x="69"/>
        <item x="52"/>
        <item x="4"/>
        <item x="38"/>
        <item x="19"/>
        <item x="48"/>
        <item x="33"/>
        <item x="41"/>
        <item x="3"/>
        <item x="47"/>
        <item x="58"/>
        <item x="9"/>
        <item x="51"/>
        <item x="2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Overall KPI score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0:J20" firstHeaderRow="1" firstDataRow="2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compact="0" showAll="0"/>
    <pivotField axis="axisCol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axis="axisRow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/>
    <pivotField dataField="1" compact="0" showAll="0">
      <items count="72">
        <item x="65"/>
        <item x="57"/>
        <item x="12"/>
        <item x="49"/>
        <item x="60"/>
        <item x="2"/>
        <item x="56"/>
        <item x="59"/>
        <item x="39"/>
        <item x="66"/>
        <item x="44"/>
        <item x="46"/>
        <item x="24"/>
        <item x="37"/>
        <item x="34"/>
        <item x="55"/>
        <item x="10"/>
        <item x="7"/>
        <item x="29"/>
        <item x="50"/>
        <item x="26"/>
        <item x="6"/>
        <item x="8"/>
        <item x="31"/>
        <item x="32"/>
        <item x="27"/>
        <item x="70"/>
        <item x="16"/>
        <item x="15"/>
        <item x="28"/>
        <item x="5"/>
        <item x="30"/>
        <item x="45"/>
        <item x="11"/>
        <item x="13"/>
        <item x="22"/>
        <item x="40"/>
        <item x="1"/>
        <item x="53"/>
        <item x="18"/>
        <item x="36"/>
        <item x="42"/>
        <item x="64"/>
        <item x="17"/>
        <item x="23"/>
        <item x="43"/>
        <item x="35"/>
        <item x="67"/>
        <item x="20"/>
        <item x="61"/>
        <item x="68"/>
        <item x="14"/>
        <item x="62"/>
        <item x="54"/>
        <item x="63"/>
        <item x="25"/>
        <item x="69"/>
        <item x="52"/>
        <item x="4"/>
        <item x="38"/>
        <item x="19"/>
        <item x="48"/>
        <item x="33"/>
        <item x="41"/>
        <item x="3"/>
        <item x="47"/>
        <item x="58"/>
        <item x="9"/>
        <item x="51"/>
        <item x="21"/>
        <item x="0"/>
        <item t="default"/>
      </items>
    </pivotField>
  </pivotFields>
  <rowFields count="1">
    <field x="6"/>
  </rowFields>
  <rowItems count="9">
    <i>
      <x v="1"/>
    </i>
    <i>
      <x v="2"/>
    </i>
    <i>
      <x v="4"/>
    </i>
    <i>
      <x v="6"/>
    </i>
    <i>
      <x v="8"/>
    </i>
    <i>
      <x v="9"/>
    </i>
    <i>
      <x v="13"/>
    </i>
    <i>
      <x v="23"/>
    </i>
    <i t="grand">
      <x/>
    </i>
  </rowItems>
  <colFields count="1">
    <field x="4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Overall KPI scor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8:F15" firstHeaderRow="1" firstDataRow="2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axis="axisRow" compact="0" showAll="0">
      <items count="6">
        <item x="2"/>
        <item x="1"/>
        <item x="4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dataField="1" compact="0" showAll="0">
      <items count="72">
        <item x="65"/>
        <item x="57"/>
        <item x="12"/>
        <item x="49"/>
        <item x="60"/>
        <item x="2"/>
        <item x="56"/>
        <item x="59"/>
        <item x="39"/>
        <item x="66"/>
        <item x="44"/>
        <item x="46"/>
        <item x="24"/>
        <item x="37"/>
        <item x="34"/>
        <item x="55"/>
        <item x="10"/>
        <item x="7"/>
        <item x="29"/>
        <item x="50"/>
        <item x="26"/>
        <item x="6"/>
        <item x="8"/>
        <item x="31"/>
        <item x="32"/>
        <item x="27"/>
        <item x="70"/>
        <item x="16"/>
        <item x="15"/>
        <item x="28"/>
        <item x="5"/>
        <item x="30"/>
        <item x="45"/>
        <item x="11"/>
        <item x="13"/>
        <item x="22"/>
        <item x="40"/>
        <item x="1"/>
        <item x="53"/>
        <item x="18"/>
        <item x="36"/>
        <item x="42"/>
        <item x="64"/>
        <item x="17"/>
        <item x="23"/>
        <item x="43"/>
        <item x="35"/>
        <item x="67"/>
        <item x="20"/>
        <item x="61"/>
        <item x="68"/>
        <item x="14"/>
        <item x="62"/>
        <item x="54"/>
        <item x="63"/>
        <item x="25"/>
        <item x="69"/>
        <item x="52"/>
        <item x="4"/>
        <item x="38"/>
        <item x="19"/>
        <item x="48"/>
        <item x="33"/>
        <item x="41"/>
        <item x="3"/>
        <item x="47"/>
        <item x="58"/>
        <item x="9"/>
        <item x="51"/>
        <item x="2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Average of Overall KPI score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4:D105" firstHeaderRow="1" firstDataRow="1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compact="0" sortType="descending" showAll="0">
      <items count="101">
        <item x="92"/>
        <item x="32"/>
        <item x="80"/>
        <item x="3"/>
        <item x="6"/>
        <item x="94"/>
        <item x="84"/>
        <item x="60"/>
        <item x="66"/>
        <item x="17"/>
        <item x="87"/>
        <item x="51"/>
        <item x="2"/>
        <item x="59"/>
        <item x="45"/>
        <item x="8"/>
        <item x="73"/>
        <item x="13"/>
        <item x="47"/>
        <item x="95"/>
        <item x="20"/>
        <item x="37"/>
        <item x="57"/>
        <item x="5"/>
        <item x="40"/>
        <item x="42"/>
        <item x="27"/>
        <item x="65"/>
        <item x="82"/>
        <item x="33"/>
        <item x="49"/>
        <item x="88"/>
        <item x="68"/>
        <item x="52"/>
        <item x="77"/>
        <item x="67"/>
        <item x="23"/>
        <item x="98"/>
        <item x="25"/>
        <item x="91"/>
        <item x="22"/>
        <item x="43"/>
        <item x="28"/>
        <item x="54"/>
        <item x="75"/>
        <item x="76"/>
        <item x="41"/>
        <item x="56"/>
        <item x="72"/>
        <item x="86"/>
        <item x="96"/>
        <item x="61"/>
        <item x="36"/>
        <item x="70"/>
        <item x="90"/>
        <item x="30"/>
        <item x="0"/>
        <item x="55"/>
        <item x="48"/>
        <item x="7"/>
        <item x="4"/>
        <item x="29"/>
        <item x="24"/>
        <item x="38"/>
        <item x="78"/>
        <item x="81"/>
        <item x="10"/>
        <item x="44"/>
        <item x="19"/>
        <item x="85"/>
        <item x="46"/>
        <item x="93"/>
        <item x="39"/>
        <item x="83"/>
        <item x="18"/>
        <item x="69"/>
        <item x="34"/>
        <item x="31"/>
        <item x="26"/>
        <item x="50"/>
        <item x="63"/>
        <item x="11"/>
        <item x="64"/>
        <item x="79"/>
        <item x="53"/>
        <item x="97"/>
        <item x="99"/>
        <item x="89"/>
        <item x="9"/>
        <item x="58"/>
        <item x="12"/>
        <item x="71"/>
        <item x="15"/>
        <item x="35"/>
        <item x="21"/>
        <item x="74"/>
        <item x="1"/>
        <item x="14"/>
        <item x="62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2">
        <item x="65"/>
        <item x="57"/>
        <item x="12"/>
        <item x="49"/>
        <item x="60"/>
        <item x="2"/>
        <item x="56"/>
        <item x="59"/>
        <item x="39"/>
        <item x="66"/>
        <item x="44"/>
        <item x="46"/>
        <item x="24"/>
        <item x="37"/>
        <item x="34"/>
        <item x="55"/>
        <item x="10"/>
        <item x="7"/>
        <item x="29"/>
        <item x="50"/>
        <item x="26"/>
        <item x="6"/>
        <item x="8"/>
        <item x="31"/>
        <item x="32"/>
        <item x="27"/>
        <item x="70"/>
        <item x="16"/>
        <item x="15"/>
        <item x="28"/>
        <item x="5"/>
        <item x="30"/>
        <item x="45"/>
        <item x="11"/>
        <item x="13"/>
        <item x="22"/>
        <item x="40"/>
        <item x="1"/>
        <item x="53"/>
        <item x="18"/>
        <item x="36"/>
        <item x="42"/>
        <item x="64"/>
        <item x="17"/>
        <item x="23"/>
        <item x="43"/>
        <item x="35"/>
        <item x="67"/>
        <item x="20"/>
        <item x="61"/>
        <item x="68"/>
        <item x="14"/>
        <item x="62"/>
        <item x="54"/>
        <item x="63"/>
        <item x="25"/>
        <item x="69"/>
        <item x="52"/>
        <item x="4"/>
        <item x="38"/>
        <item x="19"/>
        <item x="48"/>
        <item x="33"/>
        <item x="41"/>
        <item x="3"/>
        <item x="47"/>
        <item x="58"/>
        <item x="9"/>
        <item x="51"/>
        <item x="21"/>
        <item x="0"/>
        <item t="default"/>
      </items>
    </pivotField>
  </pivotFields>
  <rowFields count="1">
    <field x="1"/>
  </rowFields>
  <rowItems count="101">
    <i>
      <x v="56"/>
    </i>
    <i>
      <x v="94"/>
    </i>
    <i>
      <x v="89"/>
    </i>
    <i>
      <x v="88"/>
    </i>
    <i>
      <x v="91"/>
    </i>
    <i>
      <x v="31"/>
    </i>
    <i>
      <x v="79"/>
    </i>
    <i>
      <x v="22"/>
    </i>
    <i>
      <x v="3"/>
    </i>
    <i>
      <x v="67"/>
    </i>
    <i>
      <x v="76"/>
    </i>
    <i>
      <x v="33"/>
    </i>
    <i>
      <x v="5"/>
    </i>
    <i>
      <x v="68"/>
    </i>
    <i>
      <x v="51"/>
    </i>
    <i>
      <x v="72"/>
    </i>
    <i>
      <x v="60"/>
    </i>
    <i>
      <x v="13"/>
    </i>
    <i>
      <x v="86"/>
    </i>
    <i>
      <x/>
    </i>
    <i>
      <x v="38"/>
    </i>
    <i>
      <x v="85"/>
    </i>
    <i>
      <x v="64"/>
    </i>
    <i>
      <x v="82"/>
    </i>
    <i>
      <x v="87"/>
    </i>
    <i>
      <x v="34"/>
    </i>
    <i>
      <x v="97"/>
    </i>
    <i>
      <x v="54"/>
    </i>
    <i>
      <x v="44"/>
    </i>
    <i>
      <x v="20"/>
    </i>
    <i>
      <x v="69"/>
    </i>
    <i>
      <x v="52"/>
    </i>
    <i>
      <x v="71"/>
    </i>
    <i>
      <x v="70"/>
    </i>
    <i>
      <x v="32"/>
    </i>
    <i>
      <x v="39"/>
    </i>
    <i>
      <x v="36"/>
    </i>
    <i>
      <x v="27"/>
    </i>
    <i>
      <x v="9"/>
    </i>
    <i>
      <x v="83"/>
    </i>
    <i>
      <x v="14"/>
    </i>
    <i>
      <x v="47"/>
    </i>
    <i>
      <x v="21"/>
    </i>
    <i>
      <x v="74"/>
    </i>
    <i>
      <x v="7"/>
    </i>
    <i>
      <x v="98"/>
    </i>
    <i>
      <x v="96"/>
    </i>
    <i>
      <x v="41"/>
    </i>
    <i>
      <x v="40"/>
    </i>
    <i>
      <x v="17"/>
    </i>
    <i>
      <x v="81"/>
    </i>
    <i>
      <x v="58"/>
    </i>
    <i>
      <x v="77"/>
    </i>
    <i>
      <x v="23"/>
    </i>
    <i>
      <x v="11"/>
    </i>
    <i>
      <x v="42"/>
    </i>
    <i>
      <x v="2"/>
    </i>
    <i>
      <x v="92"/>
    </i>
    <i>
      <x v="43"/>
    </i>
    <i>
      <x v="99"/>
    </i>
    <i>
      <x v="37"/>
    </i>
    <i>
      <x v="26"/>
    </i>
    <i>
      <x v="10"/>
    </i>
    <i>
      <x v="29"/>
    </i>
    <i>
      <x v="19"/>
    </i>
    <i>
      <x v="16"/>
    </i>
    <i>
      <x v="80"/>
    </i>
    <i>
      <x v="25"/>
    </i>
    <i>
      <x v="1"/>
    </i>
    <i>
      <x v="15"/>
    </i>
    <i>
      <x v="4"/>
    </i>
    <i>
      <x v="78"/>
    </i>
    <i>
      <x v="35"/>
    </i>
    <i>
      <x v="57"/>
    </i>
    <i>
      <x v="55"/>
    </i>
    <i>
      <x v="59"/>
    </i>
    <i>
      <x v="50"/>
    </i>
    <i>
      <x v="46"/>
    </i>
    <i>
      <x v="66"/>
    </i>
    <i>
      <x v="45"/>
    </i>
    <i>
      <x v="8"/>
    </i>
    <i>
      <x v="93"/>
    </i>
    <i>
      <x v="6"/>
    </i>
    <i>
      <x v="63"/>
    </i>
    <i>
      <x v="62"/>
    </i>
    <i>
      <x v="30"/>
    </i>
    <i>
      <x v="28"/>
    </i>
    <i>
      <x v="18"/>
    </i>
    <i>
      <x v="73"/>
    </i>
    <i>
      <x v="24"/>
    </i>
    <i>
      <x v="48"/>
    </i>
    <i>
      <x v="75"/>
    </i>
    <i>
      <x v="49"/>
    </i>
    <i>
      <x v="61"/>
    </i>
    <i>
      <x v="12"/>
    </i>
    <i>
      <x v="95"/>
    </i>
    <i>
      <x v="84"/>
    </i>
    <i>
      <x v="90"/>
    </i>
    <i>
      <x v="53"/>
    </i>
    <i>
      <x v="65"/>
    </i>
    <i t="grand">
      <x/>
    </i>
  </rowItems>
  <colItems count="1">
    <i/>
  </colItems>
  <dataFields count="1">
    <dataField name="Sum of Overall KPI scor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101" totalsRowShown="0">
  <autoFilter xmlns:etc="http://www.wps.cn/officeDocument/2017/etCustomData" ref="A1:J101" etc:filterBottomFollowUsedRange="0"/>
  <tableColumns count="10">
    <tableColumn id="1" name="ID"/>
    <tableColumn id="2" name="Name"/>
    <tableColumn id="3" name="Department"/>
    <tableColumn id="4" name="Job Title"/>
    <tableColumn id="5" name="Goals Achieved %"/>
    <tableColumn id="6" name="Attendance %"/>
    <tableColumn id="7" name="Client Feedback"/>
    <tableColumn id="8" name="Training Completed"/>
    <tableColumn id="9" name="Overall KPI score" dataDxfId="0">
      <calculatedColumnFormula>(E2*0.4)+(F2*0.2)+(G2*1)+IF(H2="Y",0.5,0)</calculatedColumnFormula>
    </tableColumn>
    <tableColumn id="10" name="Normalized KPI" dataDxfId="1">
      <calculatedColumnFormula>(E2*0.4)+(F2*0.2)+((G2/6)*30)+IF(H2="Y",10,0)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showOutlineSymbols="0" tabSelected="1" showWhiteSpace="0" workbookViewId="0">
      <selection activeCell="J1" sqref="J1"/>
    </sheetView>
  </sheetViews>
  <sheetFormatPr defaultColWidth="9" defaultRowHeight="13.8"/>
  <cols>
    <col min="1" max="1" width="6.4" customWidth="1"/>
    <col min="2" max="2" width="9.7" customWidth="1"/>
    <col min="3" max="3" width="12.9" customWidth="1"/>
    <col min="4" max="4" width="10.1" customWidth="1"/>
    <col min="5" max="5" width="18.6" customWidth="1"/>
    <col min="6" max="6" width="14.8" customWidth="1"/>
    <col min="7" max="7" width="20.4" customWidth="1"/>
    <col min="8" max="8" width="19.8" customWidth="1"/>
    <col min="9" max="9" width="21.9" customWidth="1"/>
    <col min="10" max="10" width="20.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98</v>
      </c>
      <c r="F2">
        <v>98</v>
      </c>
      <c r="G2">
        <v>4.4</v>
      </c>
      <c r="H2" t="s">
        <v>13</v>
      </c>
      <c r="I2">
        <f>(E2*0.4)+(F2*0.2)+(G2*1)+IF(H2="Y",0.5,0)</f>
        <v>63.2</v>
      </c>
      <c r="J2">
        <f t="shared" ref="J2:J33" si="0">(E2*0.4)+(F2*0.2)+((G2/6)*30)+IF(H2="Y",10,0)</f>
        <v>80.8</v>
      </c>
    </row>
    <row r="3" spans="1:10">
      <c r="A3">
        <v>2</v>
      </c>
      <c r="B3" t="s">
        <v>14</v>
      </c>
      <c r="C3" t="s">
        <v>15</v>
      </c>
      <c r="D3" t="s">
        <v>16</v>
      </c>
      <c r="E3">
        <v>80</v>
      </c>
      <c r="F3">
        <v>40</v>
      </c>
      <c r="G3">
        <v>6</v>
      </c>
      <c r="H3" t="s">
        <v>13</v>
      </c>
      <c r="I3">
        <f t="shared" ref="I3:I33" si="1">(E3*0.4)+(F3*0.2)+(G3*1)+IF(H3="Y",0.5,0)</f>
        <v>46</v>
      </c>
      <c r="J3">
        <f t="shared" si="0"/>
        <v>70</v>
      </c>
    </row>
    <row r="4" spans="1:10">
      <c r="A4">
        <v>3</v>
      </c>
      <c r="B4" t="s">
        <v>17</v>
      </c>
      <c r="C4" t="s">
        <v>11</v>
      </c>
      <c r="D4" t="s">
        <v>18</v>
      </c>
      <c r="E4">
        <v>60</v>
      </c>
      <c r="F4">
        <v>40</v>
      </c>
      <c r="G4">
        <v>4.4</v>
      </c>
      <c r="H4" t="s">
        <v>13</v>
      </c>
      <c r="I4">
        <f t="shared" si="1"/>
        <v>36.4</v>
      </c>
      <c r="J4">
        <f t="shared" si="0"/>
        <v>54</v>
      </c>
    </row>
    <row r="5" spans="1:10">
      <c r="A5">
        <v>4</v>
      </c>
      <c r="B5" t="s">
        <v>19</v>
      </c>
      <c r="C5" t="s">
        <v>11</v>
      </c>
      <c r="D5" t="s">
        <v>20</v>
      </c>
      <c r="E5">
        <v>80</v>
      </c>
      <c r="F5">
        <v>85</v>
      </c>
      <c r="G5">
        <v>4.9</v>
      </c>
      <c r="H5" t="s">
        <v>21</v>
      </c>
      <c r="I5">
        <f t="shared" si="1"/>
        <v>54.4</v>
      </c>
      <c r="J5">
        <f t="shared" si="0"/>
        <v>83.5</v>
      </c>
    </row>
    <row r="6" spans="1:10">
      <c r="A6">
        <v>5</v>
      </c>
      <c r="B6" t="s">
        <v>22</v>
      </c>
      <c r="C6" t="s">
        <v>23</v>
      </c>
      <c r="D6" t="s">
        <v>20</v>
      </c>
      <c r="E6">
        <v>90</v>
      </c>
      <c r="F6">
        <v>60</v>
      </c>
      <c r="G6">
        <v>4</v>
      </c>
      <c r="H6" t="s">
        <v>13</v>
      </c>
      <c r="I6">
        <f t="shared" si="1"/>
        <v>52</v>
      </c>
      <c r="J6">
        <f t="shared" si="0"/>
        <v>68</v>
      </c>
    </row>
    <row r="7" spans="1:10">
      <c r="A7">
        <v>6</v>
      </c>
      <c r="B7" t="s">
        <v>24</v>
      </c>
      <c r="C7" t="s">
        <v>23</v>
      </c>
      <c r="D7" t="s">
        <v>25</v>
      </c>
      <c r="E7">
        <v>75</v>
      </c>
      <c r="F7">
        <v>50</v>
      </c>
      <c r="G7">
        <v>3.7</v>
      </c>
      <c r="H7" t="s">
        <v>21</v>
      </c>
      <c r="I7">
        <f t="shared" si="1"/>
        <v>44.2</v>
      </c>
      <c r="J7">
        <f t="shared" si="0"/>
        <v>68.5</v>
      </c>
    </row>
    <row r="8" spans="1:10">
      <c r="A8">
        <v>7</v>
      </c>
      <c r="B8" t="s">
        <v>26</v>
      </c>
      <c r="C8" t="s">
        <v>11</v>
      </c>
      <c r="D8" t="s">
        <v>12</v>
      </c>
      <c r="E8">
        <v>55</v>
      </c>
      <c r="F8">
        <v>80</v>
      </c>
      <c r="G8">
        <v>4.5</v>
      </c>
      <c r="H8" t="s">
        <v>13</v>
      </c>
      <c r="I8">
        <f t="shared" si="1"/>
        <v>42.5</v>
      </c>
      <c r="J8">
        <f t="shared" si="0"/>
        <v>60.5</v>
      </c>
    </row>
    <row r="9" spans="1:10">
      <c r="A9">
        <v>8</v>
      </c>
      <c r="B9" t="s">
        <v>27</v>
      </c>
      <c r="C9" t="s">
        <v>11</v>
      </c>
      <c r="D9" t="s">
        <v>18</v>
      </c>
      <c r="E9">
        <v>65</v>
      </c>
      <c r="F9">
        <v>45</v>
      </c>
      <c r="G9">
        <v>6</v>
      </c>
      <c r="H9" t="s">
        <v>13</v>
      </c>
      <c r="I9">
        <f t="shared" si="1"/>
        <v>41</v>
      </c>
      <c r="J9">
        <f t="shared" si="0"/>
        <v>65</v>
      </c>
    </row>
    <row r="10" spans="1:10">
      <c r="A10">
        <v>9</v>
      </c>
      <c r="B10" t="s">
        <v>28</v>
      </c>
      <c r="C10" t="s">
        <v>29</v>
      </c>
      <c r="D10" t="s">
        <v>18</v>
      </c>
      <c r="E10">
        <v>55</v>
      </c>
      <c r="F10">
        <v>80</v>
      </c>
      <c r="G10">
        <v>4.2</v>
      </c>
      <c r="H10" t="s">
        <v>21</v>
      </c>
      <c r="I10">
        <f t="shared" si="1"/>
        <v>42.7</v>
      </c>
      <c r="J10">
        <f t="shared" si="0"/>
        <v>69</v>
      </c>
    </row>
    <row r="11" spans="1:10">
      <c r="A11">
        <v>10</v>
      </c>
      <c r="B11" t="s">
        <v>30</v>
      </c>
      <c r="C11" t="s">
        <v>31</v>
      </c>
      <c r="D11" t="s">
        <v>20</v>
      </c>
      <c r="E11">
        <v>85</v>
      </c>
      <c r="F11">
        <v>85</v>
      </c>
      <c r="G11">
        <v>4.5</v>
      </c>
      <c r="H11" t="s">
        <v>13</v>
      </c>
      <c r="I11">
        <f t="shared" si="1"/>
        <v>55.5</v>
      </c>
      <c r="J11">
        <f t="shared" si="0"/>
        <v>73.5</v>
      </c>
    </row>
    <row r="12" spans="1:10">
      <c r="A12">
        <v>11</v>
      </c>
      <c r="B12" t="s">
        <v>32</v>
      </c>
      <c r="C12" t="s">
        <v>15</v>
      </c>
      <c r="D12" t="s">
        <v>20</v>
      </c>
      <c r="E12">
        <v>65</v>
      </c>
      <c r="F12">
        <v>50</v>
      </c>
      <c r="G12">
        <v>3.9</v>
      </c>
      <c r="H12" t="s">
        <v>21</v>
      </c>
      <c r="I12">
        <f t="shared" si="1"/>
        <v>40.4</v>
      </c>
      <c r="J12">
        <f t="shared" si="0"/>
        <v>65.5</v>
      </c>
    </row>
    <row r="13" spans="1:10">
      <c r="A13">
        <v>12</v>
      </c>
      <c r="B13" t="s">
        <v>33</v>
      </c>
      <c r="C13" t="s">
        <v>23</v>
      </c>
      <c r="D13" t="s">
        <v>16</v>
      </c>
      <c r="E13">
        <v>70</v>
      </c>
      <c r="F13">
        <v>65</v>
      </c>
      <c r="G13">
        <v>4</v>
      </c>
      <c r="H13" t="s">
        <v>13</v>
      </c>
      <c r="I13">
        <f t="shared" si="1"/>
        <v>45</v>
      </c>
      <c r="J13">
        <f t="shared" si="0"/>
        <v>61</v>
      </c>
    </row>
    <row r="14" spans="1:10">
      <c r="A14">
        <v>13</v>
      </c>
      <c r="B14" t="s">
        <v>34</v>
      </c>
      <c r="C14" t="s">
        <v>29</v>
      </c>
      <c r="D14" t="s">
        <v>20</v>
      </c>
      <c r="E14">
        <v>55</v>
      </c>
      <c r="F14">
        <v>40</v>
      </c>
      <c r="G14">
        <v>4.2</v>
      </c>
      <c r="H14" t="s">
        <v>13</v>
      </c>
      <c r="I14">
        <f t="shared" si="1"/>
        <v>34.2</v>
      </c>
      <c r="J14">
        <f t="shared" si="0"/>
        <v>51</v>
      </c>
    </row>
    <row r="15" spans="1:10">
      <c r="A15">
        <v>14</v>
      </c>
      <c r="B15" t="s">
        <v>35</v>
      </c>
      <c r="C15" t="s">
        <v>29</v>
      </c>
      <c r="D15" t="s">
        <v>18</v>
      </c>
      <c r="E15">
        <v>60</v>
      </c>
      <c r="F15">
        <v>85</v>
      </c>
      <c r="G15">
        <v>3.8</v>
      </c>
      <c r="H15" t="s">
        <v>21</v>
      </c>
      <c r="I15">
        <f t="shared" si="1"/>
        <v>45.3</v>
      </c>
      <c r="J15">
        <f t="shared" si="0"/>
        <v>70</v>
      </c>
    </row>
    <row r="16" spans="1:10">
      <c r="A16">
        <v>15</v>
      </c>
      <c r="B16" t="s">
        <v>36</v>
      </c>
      <c r="C16" t="s">
        <v>11</v>
      </c>
      <c r="D16" t="s">
        <v>20</v>
      </c>
      <c r="E16">
        <v>90</v>
      </c>
      <c r="F16">
        <v>40</v>
      </c>
      <c r="G16">
        <v>6</v>
      </c>
      <c r="H16" t="s">
        <v>13</v>
      </c>
      <c r="I16">
        <f t="shared" si="1"/>
        <v>50</v>
      </c>
      <c r="J16">
        <f t="shared" si="0"/>
        <v>74</v>
      </c>
    </row>
    <row r="17" spans="1:10">
      <c r="A17">
        <v>16</v>
      </c>
      <c r="B17" t="s">
        <v>37</v>
      </c>
      <c r="C17" t="s">
        <v>29</v>
      </c>
      <c r="D17" t="s">
        <v>25</v>
      </c>
      <c r="E17">
        <v>60</v>
      </c>
      <c r="F17">
        <v>80</v>
      </c>
      <c r="G17">
        <v>3.9</v>
      </c>
      <c r="H17" t="s">
        <v>13</v>
      </c>
      <c r="I17">
        <f t="shared" si="1"/>
        <v>43.9</v>
      </c>
      <c r="J17">
        <f t="shared" si="0"/>
        <v>59.5</v>
      </c>
    </row>
    <row r="18" spans="1:10">
      <c r="A18">
        <v>17</v>
      </c>
      <c r="B18" t="s">
        <v>38</v>
      </c>
      <c r="C18" t="s">
        <v>23</v>
      </c>
      <c r="D18" t="s">
        <v>20</v>
      </c>
      <c r="E18">
        <v>70</v>
      </c>
      <c r="F18">
        <v>60</v>
      </c>
      <c r="G18">
        <v>3.7</v>
      </c>
      <c r="H18" t="s">
        <v>13</v>
      </c>
      <c r="I18">
        <f t="shared" si="1"/>
        <v>43.7</v>
      </c>
      <c r="J18">
        <f t="shared" si="0"/>
        <v>58.5</v>
      </c>
    </row>
    <row r="19" spans="1:10">
      <c r="A19">
        <v>18</v>
      </c>
      <c r="B19" t="s">
        <v>39</v>
      </c>
      <c r="C19" t="s">
        <v>23</v>
      </c>
      <c r="D19" t="s">
        <v>12</v>
      </c>
      <c r="E19">
        <v>75</v>
      </c>
      <c r="F19">
        <v>60</v>
      </c>
      <c r="G19">
        <v>6</v>
      </c>
      <c r="H19" t="s">
        <v>13</v>
      </c>
      <c r="I19">
        <f t="shared" si="1"/>
        <v>48</v>
      </c>
      <c r="J19">
        <f t="shared" si="0"/>
        <v>72</v>
      </c>
    </row>
    <row r="20" spans="1:10">
      <c r="A20">
        <v>19</v>
      </c>
      <c r="B20" t="s">
        <v>40</v>
      </c>
      <c r="C20" t="s">
        <v>15</v>
      </c>
      <c r="D20" t="s">
        <v>12</v>
      </c>
      <c r="E20">
        <v>75</v>
      </c>
      <c r="F20">
        <v>65</v>
      </c>
      <c r="G20">
        <v>4.2</v>
      </c>
      <c r="H20" t="s">
        <v>13</v>
      </c>
      <c r="I20">
        <f t="shared" si="1"/>
        <v>47.2</v>
      </c>
      <c r="J20">
        <f t="shared" si="0"/>
        <v>64</v>
      </c>
    </row>
    <row r="21" spans="1:10">
      <c r="A21">
        <v>20</v>
      </c>
      <c r="B21" t="s">
        <v>41</v>
      </c>
      <c r="C21" t="s">
        <v>31</v>
      </c>
      <c r="D21" t="s">
        <v>12</v>
      </c>
      <c r="E21">
        <v>85</v>
      </c>
      <c r="F21">
        <v>70</v>
      </c>
      <c r="G21">
        <v>3.8</v>
      </c>
      <c r="H21" t="s">
        <v>21</v>
      </c>
      <c r="I21">
        <f t="shared" si="1"/>
        <v>52.3</v>
      </c>
      <c r="J21">
        <f t="shared" si="0"/>
        <v>77</v>
      </c>
    </row>
    <row r="22" spans="1:10">
      <c r="A22">
        <v>21</v>
      </c>
      <c r="B22" t="s">
        <v>42</v>
      </c>
      <c r="C22" t="s">
        <v>15</v>
      </c>
      <c r="D22" t="s">
        <v>18</v>
      </c>
      <c r="E22">
        <v>85</v>
      </c>
      <c r="F22">
        <v>55</v>
      </c>
      <c r="G22">
        <v>4.2</v>
      </c>
      <c r="H22" t="s">
        <v>13</v>
      </c>
      <c r="I22">
        <f t="shared" si="1"/>
        <v>49.2</v>
      </c>
      <c r="J22">
        <f t="shared" si="0"/>
        <v>66</v>
      </c>
    </row>
    <row r="23" spans="1:10">
      <c r="A23">
        <v>22</v>
      </c>
      <c r="B23" t="s">
        <v>43</v>
      </c>
      <c r="C23" t="s">
        <v>29</v>
      </c>
      <c r="D23" t="s">
        <v>18</v>
      </c>
      <c r="E23">
        <v>90</v>
      </c>
      <c r="F23">
        <v>85</v>
      </c>
      <c r="G23">
        <v>6</v>
      </c>
      <c r="H23" t="s">
        <v>13</v>
      </c>
      <c r="I23">
        <f t="shared" si="1"/>
        <v>59</v>
      </c>
      <c r="J23">
        <f t="shared" si="0"/>
        <v>83</v>
      </c>
    </row>
    <row r="24" spans="1:10">
      <c r="A24">
        <v>23</v>
      </c>
      <c r="B24" t="s">
        <v>44</v>
      </c>
      <c r="C24" t="s">
        <v>31</v>
      </c>
      <c r="D24" t="s">
        <v>20</v>
      </c>
      <c r="E24">
        <v>60</v>
      </c>
      <c r="F24">
        <v>75</v>
      </c>
      <c r="G24">
        <v>6</v>
      </c>
      <c r="H24" t="s">
        <v>21</v>
      </c>
      <c r="I24">
        <f t="shared" si="1"/>
        <v>45.5</v>
      </c>
      <c r="J24">
        <f t="shared" si="0"/>
        <v>79</v>
      </c>
    </row>
    <row r="25" spans="1:10">
      <c r="A25">
        <v>24</v>
      </c>
      <c r="B25" t="s">
        <v>45</v>
      </c>
      <c r="C25" t="s">
        <v>15</v>
      </c>
      <c r="D25" t="s">
        <v>20</v>
      </c>
      <c r="E25">
        <v>70</v>
      </c>
      <c r="F25">
        <v>80</v>
      </c>
      <c r="G25">
        <v>4.2</v>
      </c>
      <c r="H25" t="s">
        <v>13</v>
      </c>
      <c r="I25">
        <f t="shared" si="1"/>
        <v>48.2</v>
      </c>
      <c r="J25">
        <f t="shared" si="0"/>
        <v>65</v>
      </c>
    </row>
    <row r="26" spans="1:10">
      <c r="A26">
        <v>25</v>
      </c>
      <c r="B26" t="s">
        <v>46</v>
      </c>
      <c r="C26" t="s">
        <v>15</v>
      </c>
      <c r="D26" t="s">
        <v>25</v>
      </c>
      <c r="E26">
        <v>55</v>
      </c>
      <c r="F26">
        <v>65</v>
      </c>
      <c r="G26">
        <v>4</v>
      </c>
      <c r="H26" t="s">
        <v>13</v>
      </c>
      <c r="I26">
        <f t="shared" si="1"/>
        <v>39</v>
      </c>
      <c r="J26">
        <f t="shared" si="0"/>
        <v>55</v>
      </c>
    </row>
    <row r="27" spans="1:10">
      <c r="A27">
        <v>26</v>
      </c>
      <c r="B27" t="s">
        <v>47</v>
      </c>
      <c r="C27" t="s">
        <v>15</v>
      </c>
      <c r="D27" t="s">
        <v>12</v>
      </c>
      <c r="E27">
        <v>90</v>
      </c>
      <c r="F27">
        <v>55</v>
      </c>
      <c r="G27">
        <v>4</v>
      </c>
      <c r="H27" t="s">
        <v>13</v>
      </c>
      <c r="I27">
        <f t="shared" si="1"/>
        <v>51</v>
      </c>
      <c r="J27">
        <f t="shared" si="0"/>
        <v>67</v>
      </c>
    </row>
    <row r="28" spans="1:10">
      <c r="A28">
        <v>27</v>
      </c>
      <c r="B28" t="s">
        <v>48</v>
      </c>
      <c r="C28" t="s">
        <v>29</v>
      </c>
      <c r="D28" t="s">
        <v>12</v>
      </c>
      <c r="E28">
        <v>70</v>
      </c>
      <c r="F28">
        <v>45</v>
      </c>
      <c r="G28">
        <v>4.5</v>
      </c>
      <c r="H28" t="s">
        <v>13</v>
      </c>
      <c r="I28">
        <f t="shared" si="1"/>
        <v>41.5</v>
      </c>
      <c r="J28">
        <f t="shared" si="0"/>
        <v>59.5</v>
      </c>
    </row>
    <row r="29" spans="1:10">
      <c r="A29">
        <v>28</v>
      </c>
      <c r="B29" t="s">
        <v>49</v>
      </c>
      <c r="C29" t="s">
        <v>31</v>
      </c>
      <c r="D29" t="s">
        <v>18</v>
      </c>
      <c r="E29">
        <v>55</v>
      </c>
      <c r="F29">
        <v>80</v>
      </c>
      <c r="G29">
        <v>4.9</v>
      </c>
      <c r="H29" t="s">
        <v>21</v>
      </c>
      <c r="I29">
        <f t="shared" si="1"/>
        <v>43.4</v>
      </c>
      <c r="J29">
        <f t="shared" si="0"/>
        <v>72.5</v>
      </c>
    </row>
    <row r="30" spans="1:10">
      <c r="A30">
        <v>29</v>
      </c>
      <c r="B30" t="s">
        <v>50</v>
      </c>
      <c r="C30" t="s">
        <v>15</v>
      </c>
      <c r="D30" t="s">
        <v>20</v>
      </c>
      <c r="E30">
        <v>65</v>
      </c>
      <c r="F30">
        <v>70</v>
      </c>
      <c r="G30">
        <v>4</v>
      </c>
      <c r="H30" t="s">
        <v>13</v>
      </c>
      <c r="I30">
        <f t="shared" si="1"/>
        <v>44</v>
      </c>
      <c r="J30">
        <f t="shared" si="0"/>
        <v>60</v>
      </c>
    </row>
    <row r="31" spans="1:10">
      <c r="A31">
        <v>30</v>
      </c>
      <c r="B31" t="s">
        <v>51</v>
      </c>
      <c r="C31" t="s">
        <v>29</v>
      </c>
      <c r="D31" t="s">
        <v>12</v>
      </c>
      <c r="E31">
        <v>55</v>
      </c>
      <c r="F31">
        <v>45</v>
      </c>
      <c r="G31">
        <v>4.9</v>
      </c>
      <c r="H31" t="s">
        <v>21</v>
      </c>
      <c r="I31">
        <f t="shared" si="1"/>
        <v>36.4</v>
      </c>
      <c r="J31">
        <f t="shared" si="0"/>
        <v>65.5</v>
      </c>
    </row>
    <row r="32" spans="1:10">
      <c r="A32">
        <v>31</v>
      </c>
      <c r="B32" t="s">
        <v>52</v>
      </c>
      <c r="C32" t="s">
        <v>29</v>
      </c>
      <c r="D32" t="s">
        <v>18</v>
      </c>
      <c r="E32">
        <v>65</v>
      </c>
      <c r="F32">
        <v>55</v>
      </c>
      <c r="G32">
        <v>3.7</v>
      </c>
      <c r="H32" t="s">
        <v>21</v>
      </c>
      <c r="I32">
        <f t="shared" si="1"/>
        <v>41.2</v>
      </c>
      <c r="J32">
        <f t="shared" si="0"/>
        <v>65.5</v>
      </c>
    </row>
    <row r="33" spans="1:10">
      <c r="A33">
        <v>32</v>
      </c>
      <c r="B33" t="s">
        <v>53</v>
      </c>
      <c r="C33" t="s">
        <v>11</v>
      </c>
      <c r="D33" t="s">
        <v>20</v>
      </c>
      <c r="E33">
        <v>70</v>
      </c>
      <c r="F33">
        <v>60</v>
      </c>
      <c r="G33">
        <v>3.9</v>
      </c>
      <c r="H33" t="s">
        <v>21</v>
      </c>
      <c r="I33">
        <f t="shared" si="1"/>
        <v>44.4</v>
      </c>
      <c r="J33">
        <f t="shared" si="0"/>
        <v>69.5</v>
      </c>
    </row>
    <row r="34" spans="1:10">
      <c r="A34">
        <v>33</v>
      </c>
      <c r="B34" t="s">
        <v>54</v>
      </c>
      <c r="C34" t="s">
        <v>15</v>
      </c>
      <c r="D34" t="s">
        <v>18</v>
      </c>
      <c r="E34">
        <v>70</v>
      </c>
      <c r="F34">
        <v>55</v>
      </c>
      <c r="G34">
        <v>3.9</v>
      </c>
      <c r="H34" t="s">
        <v>13</v>
      </c>
      <c r="I34">
        <f t="shared" ref="I34:I65" si="2">(E34*0.4)+(F34*0.2)+(G34*1)+IF(H34="Y",0.5,0)</f>
        <v>42.9</v>
      </c>
      <c r="J34">
        <f t="shared" ref="J34:J65" si="3">(E34*0.4)+(F34*0.2)+((G34/6)*30)+IF(H34="Y",10,0)</f>
        <v>58.5</v>
      </c>
    </row>
    <row r="35" spans="1:10">
      <c r="A35">
        <v>34</v>
      </c>
      <c r="B35" t="s">
        <v>55</v>
      </c>
      <c r="C35" t="s">
        <v>29</v>
      </c>
      <c r="D35" t="s">
        <v>16</v>
      </c>
      <c r="E35">
        <v>55</v>
      </c>
      <c r="F35">
        <v>75</v>
      </c>
      <c r="G35">
        <v>6</v>
      </c>
      <c r="H35" t="s">
        <v>13</v>
      </c>
      <c r="I35">
        <f t="shared" si="2"/>
        <v>43</v>
      </c>
      <c r="J35">
        <f t="shared" si="3"/>
        <v>67</v>
      </c>
    </row>
    <row r="36" spans="1:10">
      <c r="A36">
        <v>35</v>
      </c>
      <c r="B36" t="s">
        <v>56</v>
      </c>
      <c r="C36" t="s">
        <v>31</v>
      </c>
      <c r="D36" t="s">
        <v>16</v>
      </c>
      <c r="E36">
        <v>90</v>
      </c>
      <c r="F36">
        <v>65</v>
      </c>
      <c r="G36">
        <v>3.9</v>
      </c>
      <c r="H36" t="s">
        <v>13</v>
      </c>
      <c r="I36">
        <f t="shared" si="2"/>
        <v>52.9</v>
      </c>
      <c r="J36">
        <f t="shared" si="3"/>
        <v>68.5</v>
      </c>
    </row>
    <row r="37" spans="1:10">
      <c r="A37">
        <v>36</v>
      </c>
      <c r="B37" t="s">
        <v>57</v>
      </c>
      <c r="C37" t="s">
        <v>15</v>
      </c>
      <c r="D37" t="s">
        <v>16</v>
      </c>
      <c r="E37">
        <v>55</v>
      </c>
      <c r="F37">
        <v>65</v>
      </c>
      <c r="G37">
        <v>4.5</v>
      </c>
      <c r="H37" t="s">
        <v>21</v>
      </c>
      <c r="I37">
        <f t="shared" si="2"/>
        <v>40</v>
      </c>
      <c r="J37">
        <f t="shared" si="3"/>
        <v>67.5</v>
      </c>
    </row>
    <row r="38" spans="1:10">
      <c r="A38">
        <v>37</v>
      </c>
      <c r="B38" t="s">
        <v>58</v>
      </c>
      <c r="C38" t="s">
        <v>29</v>
      </c>
      <c r="D38" t="s">
        <v>12</v>
      </c>
      <c r="E38">
        <v>85</v>
      </c>
      <c r="F38">
        <v>55</v>
      </c>
      <c r="G38">
        <v>3.8</v>
      </c>
      <c r="H38" t="s">
        <v>13</v>
      </c>
      <c r="I38">
        <f t="shared" si="2"/>
        <v>48.8</v>
      </c>
      <c r="J38">
        <f t="shared" si="3"/>
        <v>64</v>
      </c>
    </row>
    <row r="39" spans="1:10">
      <c r="A39">
        <v>38</v>
      </c>
      <c r="B39" t="s">
        <v>59</v>
      </c>
      <c r="C39" t="s">
        <v>31</v>
      </c>
      <c r="D39" t="s">
        <v>20</v>
      </c>
      <c r="E39">
        <v>85</v>
      </c>
      <c r="F39">
        <v>45</v>
      </c>
      <c r="G39">
        <v>3.8</v>
      </c>
      <c r="H39" t="s">
        <v>21</v>
      </c>
      <c r="I39">
        <f t="shared" si="2"/>
        <v>47.3</v>
      </c>
      <c r="J39">
        <f t="shared" si="3"/>
        <v>72</v>
      </c>
    </row>
    <row r="40" spans="1:10">
      <c r="A40">
        <v>39</v>
      </c>
      <c r="B40" t="s">
        <v>60</v>
      </c>
      <c r="C40" t="s">
        <v>23</v>
      </c>
      <c r="D40" t="s">
        <v>12</v>
      </c>
      <c r="E40">
        <v>60</v>
      </c>
      <c r="F40">
        <v>60</v>
      </c>
      <c r="G40">
        <v>3.8</v>
      </c>
      <c r="H40" t="s">
        <v>13</v>
      </c>
      <c r="I40">
        <f t="shared" si="2"/>
        <v>39.8</v>
      </c>
      <c r="J40">
        <f t="shared" si="3"/>
        <v>55</v>
      </c>
    </row>
    <row r="41" spans="1:10">
      <c r="A41">
        <v>40</v>
      </c>
      <c r="B41" t="s">
        <v>61</v>
      </c>
      <c r="C41" t="s">
        <v>31</v>
      </c>
      <c r="D41" t="s">
        <v>25</v>
      </c>
      <c r="E41">
        <v>90</v>
      </c>
      <c r="F41">
        <v>60</v>
      </c>
      <c r="G41">
        <v>4.2</v>
      </c>
      <c r="H41" t="s">
        <v>13</v>
      </c>
      <c r="I41">
        <f t="shared" si="2"/>
        <v>52.2</v>
      </c>
      <c r="J41">
        <f t="shared" si="3"/>
        <v>69</v>
      </c>
    </row>
    <row r="42" spans="1:10">
      <c r="A42">
        <v>41</v>
      </c>
      <c r="B42" t="s">
        <v>62</v>
      </c>
      <c r="C42" t="s">
        <v>11</v>
      </c>
      <c r="D42" t="s">
        <v>16</v>
      </c>
      <c r="E42">
        <v>50</v>
      </c>
      <c r="F42">
        <v>60</v>
      </c>
      <c r="G42">
        <v>4.5</v>
      </c>
      <c r="H42" t="s">
        <v>21</v>
      </c>
      <c r="I42">
        <f t="shared" si="2"/>
        <v>37</v>
      </c>
      <c r="J42">
        <f t="shared" si="3"/>
        <v>64.5</v>
      </c>
    </row>
    <row r="43" spans="1:10">
      <c r="A43">
        <v>42</v>
      </c>
      <c r="B43" t="s">
        <v>63</v>
      </c>
      <c r="C43" t="s">
        <v>15</v>
      </c>
      <c r="D43" t="s">
        <v>12</v>
      </c>
      <c r="E43">
        <v>60</v>
      </c>
      <c r="F43">
        <v>65</v>
      </c>
      <c r="G43">
        <v>4</v>
      </c>
      <c r="H43" t="s">
        <v>13</v>
      </c>
      <c r="I43">
        <f t="shared" si="2"/>
        <v>41</v>
      </c>
      <c r="J43">
        <f t="shared" si="3"/>
        <v>57</v>
      </c>
    </row>
    <row r="44" spans="1:10">
      <c r="A44">
        <v>43</v>
      </c>
      <c r="B44" t="s">
        <v>64</v>
      </c>
      <c r="C44" t="s">
        <v>11</v>
      </c>
      <c r="D44" t="s">
        <v>20</v>
      </c>
      <c r="E44">
        <v>70</v>
      </c>
      <c r="F44">
        <v>55</v>
      </c>
      <c r="G44">
        <v>3.9</v>
      </c>
      <c r="H44" t="s">
        <v>13</v>
      </c>
      <c r="I44">
        <f t="shared" si="2"/>
        <v>42.9</v>
      </c>
      <c r="J44">
        <f t="shared" si="3"/>
        <v>58.5</v>
      </c>
    </row>
    <row r="45" spans="1:10">
      <c r="A45">
        <v>44</v>
      </c>
      <c r="B45" t="s">
        <v>65</v>
      </c>
      <c r="C45" t="s">
        <v>29</v>
      </c>
      <c r="D45" t="s">
        <v>16</v>
      </c>
      <c r="E45">
        <v>65</v>
      </c>
      <c r="F45">
        <v>75</v>
      </c>
      <c r="G45">
        <v>4.2</v>
      </c>
      <c r="H45" t="s">
        <v>21</v>
      </c>
      <c r="I45">
        <f t="shared" si="2"/>
        <v>45.7</v>
      </c>
      <c r="J45">
        <f t="shared" si="3"/>
        <v>72</v>
      </c>
    </row>
    <row r="46" spans="1:10">
      <c r="A46">
        <v>45</v>
      </c>
      <c r="B46" t="s">
        <v>66</v>
      </c>
      <c r="C46" t="s">
        <v>15</v>
      </c>
      <c r="D46" t="s">
        <v>12</v>
      </c>
      <c r="E46">
        <v>90</v>
      </c>
      <c r="F46">
        <v>65</v>
      </c>
      <c r="G46">
        <v>4.4</v>
      </c>
      <c r="H46" t="s">
        <v>21</v>
      </c>
      <c r="I46">
        <f t="shared" si="2"/>
        <v>53.9</v>
      </c>
      <c r="J46">
        <f t="shared" si="3"/>
        <v>81</v>
      </c>
    </row>
    <row r="47" spans="1:10">
      <c r="A47">
        <v>46</v>
      </c>
      <c r="B47" t="s">
        <v>67</v>
      </c>
      <c r="C47" t="s">
        <v>23</v>
      </c>
      <c r="D47" t="s">
        <v>18</v>
      </c>
      <c r="E47">
        <v>80</v>
      </c>
      <c r="F47">
        <v>55</v>
      </c>
      <c r="G47">
        <v>4.5</v>
      </c>
      <c r="H47" t="s">
        <v>13</v>
      </c>
      <c r="I47">
        <f t="shared" si="2"/>
        <v>47.5</v>
      </c>
      <c r="J47">
        <f t="shared" si="3"/>
        <v>65.5</v>
      </c>
    </row>
    <row r="48" spans="1:10">
      <c r="A48">
        <v>47</v>
      </c>
      <c r="B48" t="s">
        <v>68</v>
      </c>
      <c r="C48" t="s">
        <v>31</v>
      </c>
      <c r="D48" t="s">
        <v>25</v>
      </c>
      <c r="E48">
        <v>75</v>
      </c>
      <c r="F48">
        <v>70</v>
      </c>
      <c r="G48">
        <v>4.5</v>
      </c>
      <c r="H48" t="s">
        <v>13</v>
      </c>
      <c r="I48">
        <f t="shared" si="2"/>
        <v>48.5</v>
      </c>
      <c r="J48">
        <f t="shared" si="3"/>
        <v>66.5</v>
      </c>
    </row>
    <row r="49" spans="1:10">
      <c r="A49">
        <v>48</v>
      </c>
      <c r="B49" t="s">
        <v>69</v>
      </c>
      <c r="C49" t="s">
        <v>15</v>
      </c>
      <c r="D49" t="s">
        <v>20</v>
      </c>
      <c r="E49">
        <v>55</v>
      </c>
      <c r="F49">
        <v>55</v>
      </c>
      <c r="G49">
        <v>4</v>
      </c>
      <c r="H49" t="s">
        <v>21</v>
      </c>
      <c r="I49">
        <f t="shared" si="2"/>
        <v>37.5</v>
      </c>
      <c r="J49">
        <f t="shared" si="3"/>
        <v>63</v>
      </c>
    </row>
    <row r="50" spans="1:10">
      <c r="A50">
        <v>49</v>
      </c>
      <c r="B50" t="s">
        <v>70</v>
      </c>
      <c r="C50" t="s">
        <v>29</v>
      </c>
      <c r="D50" t="s">
        <v>12</v>
      </c>
      <c r="E50">
        <v>65</v>
      </c>
      <c r="F50">
        <v>70</v>
      </c>
      <c r="G50">
        <v>4</v>
      </c>
      <c r="H50" t="s">
        <v>21</v>
      </c>
      <c r="I50">
        <f t="shared" si="2"/>
        <v>44.5</v>
      </c>
      <c r="J50">
        <f t="shared" si="3"/>
        <v>70</v>
      </c>
    </row>
    <row r="51" spans="1:10">
      <c r="A51">
        <v>50</v>
      </c>
      <c r="B51" t="s">
        <v>71</v>
      </c>
      <c r="C51" t="s">
        <v>29</v>
      </c>
      <c r="D51" t="s">
        <v>12</v>
      </c>
      <c r="E51">
        <v>60</v>
      </c>
      <c r="F51">
        <v>50</v>
      </c>
      <c r="G51">
        <v>3.9</v>
      </c>
      <c r="H51" t="s">
        <v>21</v>
      </c>
      <c r="I51">
        <f t="shared" si="2"/>
        <v>38.4</v>
      </c>
      <c r="J51">
        <f t="shared" si="3"/>
        <v>63.5</v>
      </c>
    </row>
    <row r="52" spans="1:10">
      <c r="A52">
        <v>51</v>
      </c>
      <c r="B52" t="s">
        <v>72</v>
      </c>
      <c r="C52" t="s">
        <v>29</v>
      </c>
      <c r="D52" t="s">
        <v>25</v>
      </c>
      <c r="E52">
        <v>90</v>
      </c>
      <c r="F52">
        <v>70</v>
      </c>
      <c r="G52">
        <v>4.5</v>
      </c>
      <c r="H52" t="s">
        <v>13</v>
      </c>
      <c r="I52">
        <f t="shared" si="2"/>
        <v>54.5</v>
      </c>
      <c r="J52">
        <f t="shared" si="3"/>
        <v>72.5</v>
      </c>
    </row>
    <row r="53" spans="1:10">
      <c r="A53">
        <v>52</v>
      </c>
      <c r="B53" t="s">
        <v>73</v>
      </c>
      <c r="C53" t="s">
        <v>31</v>
      </c>
      <c r="D53" t="s">
        <v>20</v>
      </c>
      <c r="E53">
        <v>70</v>
      </c>
      <c r="F53">
        <v>60</v>
      </c>
      <c r="G53">
        <v>3.7</v>
      </c>
      <c r="H53" t="s">
        <v>21</v>
      </c>
      <c r="I53">
        <f t="shared" si="2"/>
        <v>44.2</v>
      </c>
      <c r="J53">
        <f t="shared" si="3"/>
        <v>68.5</v>
      </c>
    </row>
    <row r="54" spans="1:10">
      <c r="A54">
        <v>53</v>
      </c>
      <c r="B54" t="s">
        <v>74</v>
      </c>
      <c r="C54" t="s">
        <v>15</v>
      </c>
      <c r="D54" t="s">
        <v>18</v>
      </c>
      <c r="E54">
        <v>80</v>
      </c>
      <c r="F54">
        <v>85</v>
      </c>
      <c r="G54">
        <v>3.7</v>
      </c>
      <c r="H54" t="s">
        <v>13</v>
      </c>
      <c r="I54">
        <f t="shared" si="2"/>
        <v>52.7</v>
      </c>
      <c r="J54">
        <f t="shared" si="3"/>
        <v>67.5</v>
      </c>
    </row>
    <row r="55" spans="1:10">
      <c r="A55">
        <v>54</v>
      </c>
      <c r="B55" t="s">
        <v>75</v>
      </c>
      <c r="C55" t="s">
        <v>29</v>
      </c>
      <c r="D55" t="s">
        <v>18</v>
      </c>
      <c r="E55">
        <v>55</v>
      </c>
      <c r="F55">
        <v>40</v>
      </c>
      <c r="G55">
        <v>4.5</v>
      </c>
      <c r="H55" t="s">
        <v>13</v>
      </c>
      <c r="I55">
        <f t="shared" si="2"/>
        <v>34.5</v>
      </c>
      <c r="J55">
        <f t="shared" si="3"/>
        <v>52.5</v>
      </c>
    </row>
    <row r="56" spans="1:10">
      <c r="A56">
        <v>55</v>
      </c>
      <c r="B56" t="s">
        <v>76</v>
      </c>
      <c r="C56" t="s">
        <v>23</v>
      </c>
      <c r="D56" t="s">
        <v>20</v>
      </c>
      <c r="E56">
        <v>65</v>
      </c>
      <c r="F56">
        <v>70</v>
      </c>
      <c r="G56">
        <v>3.9</v>
      </c>
      <c r="H56" t="s">
        <v>13</v>
      </c>
      <c r="I56">
        <f t="shared" si="2"/>
        <v>43.9</v>
      </c>
      <c r="J56">
        <f t="shared" si="3"/>
        <v>59.5</v>
      </c>
    </row>
    <row r="57" spans="1:10">
      <c r="A57">
        <v>56</v>
      </c>
      <c r="B57" t="s">
        <v>77</v>
      </c>
      <c r="C57" t="s">
        <v>11</v>
      </c>
      <c r="D57" t="s">
        <v>18</v>
      </c>
      <c r="E57">
        <v>65</v>
      </c>
      <c r="F57">
        <v>50</v>
      </c>
      <c r="G57">
        <v>4.9</v>
      </c>
      <c r="H57" t="s">
        <v>21</v>
      </c>
      <c r="I57">
        <f t="shared" si="2"/>
        <v>41.4</v>
      </c>
      <c r="J57">
        <f t="shared" si="3"/>
        <v>70.5</v>
      </c>
    </row>
    <row r="58" spans="1:10">
      <c r="A58">
        <v>57</v>
      </c>
      <c r="B58" t="s">
        <v>78</v>
      </c>
      <c r="C58" t="s">
        <v>23</v>
      </c>
      <c r="D58" t="s">
        <v>20</v>
      </c>
      <c r="E58">
        <v>80</v>
      </c>
      <c r="F58">
        <v>55</v>
      </c>
      <c r="G58">
        <v>3.8</v>
      </c>
      <c r="H58" t="s">
        <v>21</v>
      </c>
      <c r="I58">
        <f t="shared" si="2"/>
        <v>47.3</v>
      </c>
      <c r="J58">
        <f t="shared" si="3"/>
        <v>72</v>
      </c>
    </row>
    <row r="59" spans="1:10">
      <c r="A59">
        <v>58</v>
      </c>
      <c r="B59" t="s">
        <v>79</v>
      </c>
      <c r="C59" t="s">
        <v>15</v>
      </c>
      <c r="D59" t="s">
        <v>16</v>
      </c>
      <c r="E59">
        <v>90</v>
      </c>
      <c r="F59">
        <v>65</v>
      </c>
      <c r="G59">
        <v>4.9</v>
      </c>
      <c r="H59" t="s">
        <v>21</v>
      </c>
      <c r="I59">
        <f t="shared" si="2"/>
        <v>54.4</v>
      </c>
      <c r="J59">
        <f t="shared" si="3"/>
        <v>83.5</v>
      </c>
    </row>
    <row r="60" spans="1:10">
      <c r="A60">
        <v>59</v>
      </c>
      <c r="B60" t="s">
        <v>80</v>
      </c>
      <c r="C60" t="s">
        <v>29</v>
      </c>
      <c r="D60" t="s">
        <v>16</v>
      </c>
      <c r="E60">
        <v>85</v>
      </c>
      <c r="F60">
        <v>85</v>
      </c>
      <c r="G60">
        <v>4.9</v>
      </c>
      <c r="H60" t="s">
        <v>13</v>
      </c>
      <c r="I60">
        <f t="shared" si="2"/>
        <v>55.9</v>
      </c>
      <c r="J60">
        <f t="shared" si="3"/>
        <v>75.5</v>
      </c>
    </row>
    <row r="61" spans="1:10">
      <c r="A61">
        <v>60</v>
      </c>
      <c r="B61" t="s">
        <v>81</v>
      </c>
      <c r="C61" t="s">
        <v>11</v>
      </c>
      <c r="D61" t="s">
        <v>12</v>
      </c>
      <c r="E61">
        <v>85</v>
      </c>
      <c r="F61">
        <v>65</v>
      </c>
      <c r="G61">
        <v>4</v>
      </c>
      <c r="H61" t="s">
        <v>21</v>
      </c>
      <c r="I61">
        <f t="shared" si="2"/>
        <v>51.5</v>
      </c>
      <c r="J61">
        <f t="shared" si="3"/>
        <v>77</v>
      </c>
    </row>
    <row r="62" spans="1:10">
      <c r="A62">
        <v>61</v>
      </c>
      <c r="B62" t="s">
        <v>82</v>
      </c>
      <c r="C62" t="s">
        <v>11</v>
      </c>
      <c r="D62" t="s">
        <v>20</v>
      </c>
      <c r="E62">
        <v>85</v>
      </c>
      <c r="F62">
        <v>40</v>
      </c>
      <c r="G62">
        <v>4.4</v>
      </c>
      <c r="H62" t="s">
        <v>13</v>
      </c>
      <c r="I62">
        <f t="shared" si="2"/>
        <v>46.4</v>
      </c>
      <c r="J62">
        <f t="shared" si="3"/>
        <v>64</v>
      </c>
    </row>
    <row r="63" spans="1:10">
      <c r="A63">
        <v>62</v>
      </c>
      <c r="B63" t="s">
        <v>83</v>
      </c>
      <c r="C63" t="s">
        <v>15</v>
      </c>
      <c r="D63" t="s">
        <v>25</v>
      </c>
      <c r="E63">
        <v>85</v>
      </c>
      <c r="F63">
        <v>70</v>
      </c>
      <c r="G63">
        <v>3.8</v>
      </c>
      <c r="H63" t="s">
        <v>21</v>
      </c>
      <c r="I63">
        <f t="shared" si="2"/>
        <v>52.3</v>
      </c>
      <c r="J63">
        <f t="shared" si="3"/>
        <v>77</v>
      </c>
    </row>
    <row r="64" spans="1:10">
      <c r="A64">
        <v>63</v>
      </c>
      <c r="B64" t="s">
        <v>84</v>
      </c>
      <c r="C64" t="s">
        <v>15</v>
      </c>
      <c r="D64" t="s">
        <v>25</v>
      </c>
      <c r="E64">
        <v>80</v>
      </c>
      <c r="F64">
        <v>45</v>
      </c>
      <c r="G64">
        <v>4.5</v>
      </c>
      <c r="H64" t="s">
        <v>21</v>
      </c>
      <c r="I64">
        <f t="shared" si="2"/>
        <v>46</v>
      </c>
      <c r="J64">
        <f t="shared" si="3"/>
        <v>73.5</v>
      </c>
    </row>
    <row r="65" spans="1:10">
      <c r="A65">
        <v>64</v>
      </c>
      <c r="B65" t="s">
        <v>85</v>
      </c>
      <c r="C65" t="s">
        <v>15</v>
      </c>
      <c r="D65" t="s">
        <v>12</v>
      </c>
      <c r="E65">
        <v>75</v>
      </c>
      <c r="F65">
        <v>45</v>
      </c>
      <c r="G65">
        <v>3.9</v>
      </c>
      <c r="H65" t="s">
        <v>13</v>
      </c>
      <c r="I65">
        <f t="shared" si="2"/>
        <v>42.9</v>
      </c>
      <c r="J65">
        <f t="shared" si="3"/>
        <v>58.5</v>
      </c>
    </row>
    <row r="66" spans="1:10">
      <c r="A66">
        <v>65</v>
      </c>
      <c r="B66" t="s">
        <v>86</v>
      </c>
      <c r="C66" t="s">
        <v>15</v>
      </c>
      <c r="D66" t="s">
        <v>25</v>
      </c>
      <c r="E66">
        <v>75</v>
      </c>
      <c r="F66">
        <v>80</v>
      </c>
      <c r="G66">
        <v>4.5</v>
      </c>
      <c r="H66" t="s">
        <v>13</v>
      </c>
      <c r="I66">
        <f t="shared" ref="I66:I101" si="4">(E66*0.4)+(F66*0.2)+(G66*1)+IF(H66="Y",0.5,0)</f>
        <v>50.5</v>
      </c>
      <c r="J66">
        <f t="shared" ref="J66:J101" si="5">(E66*0.4)+(F66*0.2)+((G66/6)*30)+IF(H66="Y",10,0)</f>
        <v>68.5</v>
      </c>
    </row>
    <row r="67" spans="1:10">
      <c r="A67">
        <v>66</v>
      </c>
      <c r="B67" t="s">
        <v>87</v>
      </c>
      <c r="C67" t="s">
        <v>29</v>
      </c>
      <c r="D67" t="s">
        <v>12</v>
      </c>
      <c r="E67">
        <v>90</v>
      </c>
      <c r="F67">
        <v>40</v>
      </c>
      <c r="G67">
        <v>4</v>
      </c>
      <c r="H67" t="s">
        <v>13</v>
      </c>
      <c r="I67">
        <f t="shared" si="4"/>
        <v>48</v>
      </c>
      <c r="J67">
        <f t="shared" si="5"/>
        <v>64</v>
      </c>
    </row>
    <row r="68" spans="1:10">
      <c r="A68">
        <v>67</v>
      </c>
      <c r="B68" t="s">
        <v>88</v>
      </c>
      <c r="C68" t="s">
        <v>29</v>
      </c>
      <c r="D68" t="s">
        <v>18</v>
      </c>
      <c r="E68">
        <v>65</v>
      </c>
      <c r="F68">
        <v>50</v>
      </c>
      <c r="G68">
        <v>3.7</v>
      </c>
      <c r="H68" t="s">
        <v>21</v>
      </c>
      <c r="I68">
        <f t="shared" si="4"/>
        <v>40.2</v>
      </c>
      <c r="J68">
        <f t="shared" si="5"/>
        <v>64.5</v>
      </c>
    </row>
    <row r="69" spans="1:10">
      <c r="A69">
        <v>68</v>
      </c>
      <c r="B69" t="s">
        <v>89</v>
      </c>
      <c r="C69" t="s">
        <v>31</v>
      </c>
      <c r="D69" t="s">
        <v>25</v>
      </c>
      <c r="E69">
        <v>65</v>
      </c>
      <c r="F69">
        <v>55</v>
      </c>
      <c r="G69">
        <v>4</v>
      </c>
      <c r="H69" t="s">
        <v>21</v>
      </c>
      <c r="I69">
        <f t="shared" si="4"/>
        <v>41.5</v>
      </c>
      <c r="J69">
        <f t="shared" si="5"/>
        <v>67</v>
      </c>
    </row>
    <row r="70" spans="1:10">
      <c r="A70">
        <v>69</v>
      </c>
      <c r="B70" t="s">
        <v>90</v>
      </c>
      <c r="C70" t="s">
        <v>23</v>
      </c>
      <c r="D70" t="s">
        <v>16</v>
      </c>
      <c r="E70">
        <v>70</v>
      </c>
      <c r="F70">
        <v>80</v>
      </c>
      <c r="G70">
        <v>4.5</v>
      </c>
      <c r="H70" t="s">
        <v>13</v>
      </c>
      <c r="I70">
        <f t="shared" si="4"/>
        <v>48.5</v>
      </c>
      <c r="J70">
        <f t="shared" si="5"/>
        <v>66.5</v>
      </c>
    </row>
    <row r="71" spans="1:10">
      <c r="A71">
        <v>70</v>
      </c>
      <c r="B71" t="s">
        <v>91</v>
      </c>
      <c r="C71" t="s">
        <v>11</v>
      </c>
      <c r="D71" t="s">
        <v>25</v>
      </c>
      <c r="E71">
        <v>50</v>
      </c>
      <c r="F71">
        <v>60</v>
      </c>
      <c r="G71">
        <v>4</v>
      </c>
      <c r="H71" t="s">
        <v>21</v>
      </c>
      <c r="I71">
        <f t="shared" si="4"/>
        <v>36.5</v>
      </c>
      <c r="J71">
        <f t="shared" si="5"/>
        <v>62</v>
      </c>
    </row>
    <row r="72" spans="1:10">
      <c r="A72">
        <v>71</v>
      </c>
      <c r="B72" t="s">
        <v>92</v>
      </c>
      <c r="C72" t="s">
        <v>15</v>
      </c>
      <c r="D72" t="s">
        <v>18</v>
      </c>
      <c r="E72">
        <v>50</v>
      </c>
      <c r="F72">
        <v>50</v>
      </c>
      <c r="G72">
        <v>3.7</v>
      </c>
      <c r="H72" t="s">
        <v>13</v>
      </c>
      <c r="I72">
        <f t="shared" si="4"/>
        <v>33.7</v>
      </c>
      <c r="J72">
        <f t="shared" si="5"/>
        <v>48.5</v>
      </c>
    </row>
    <row r="73" spans="1:10">
      <c r="A73">
        <v>72</v>
      </c>
      <c r="B73" t="s">
        <v>93</v>
      </c>
      <c r="C73" t="s">
        <v>23</v>
      </c>
      <c r="D73" t="s">
        <v>25</v>
      </c>
      <c r="E73">
        <v>90</v>
      </c>
      <c r="F73">
        <v>65</v>
      </c>
      <c r="G73">
        <v>6</v>
      </c>
      <c r="H73" t="s">
        <v>13</v>
      </c>
      <c r="I73">
        <f t="shared" si="4"/>
        <v>55</v>
      </c>
      <c r="J73">
        <f t="shared" si="5"/>
        <v>79</v>
      </c>
    </row>
    <row r="74" spans="1:10">
      <c r="A74">
        <v>73</v>
      </c>
      <c r="B74" t="s">
        <v>94</v>
      </c>
      <c r="C74" t="s">
        <v>15</v>
      </c>
      <c r="D74" t="s">
        <v>18</v>
      </c>
      <c r="E74">
        <v>55</v>
      </c>
      <c r="F74">
        <v>55</v>
      </c>
      <c r="G74">
        <v>3.8</v>
      </c>
      <c r="H74" t="s">
        <v>13</v>
      </c>
      <c r="I74">
        <f t="shared" si="4"/>
        <v>36.8</v>
      </c>
      <c r="J74">
        <f t="shared" si="5"/>
        <v>52</v>
      </c>
    </row>
    <row r="75" spans="1:10">
      <c r="A75">
        <v>74</v>
      </c>
      <c r="B75" t="s">
        <v>95</v>
      </c>
      <c r="C75" t="s">
        <v>23</v>
      </c>
      <c r="D75" t="s">
        <v>20</v>
      </c>
      <c r="E75">
        <v>55</v>
      </c>
      <c r="F75">
        <v>75</v>
      </c>
      <c r="G75">
        <v>6</v>
      </c>
      <c r="H75" t="s">
        <v>13</v>
      </c>
      <c r="I75">
        <f t="shared" si="4"/>
        <v>43</v>
      </c>
      <c r="J75">
        <f t="shared" si="5"/>
        <v>67</v>
      </c>
    </row>
    <row r="76" spans="1:10">
      <c r="A76">
        <v>75</v>
      </c>
      <c r="B76" t="s">
        <v>96</v>
      </c>
      <c r="C76" t="s">
        <v>29</v>
      </c>
      <c r="D76" t="s">
        <v>25</v>
      </c>
      <c r="E76">
        <v>50</v>
      </c>
      <c r="F76">
        <v>55</v>
      </c>
      <c r="G76">
        <v>4.9</v>
      </c>
      <c r="H76" t="s">
        <v>13</v>
      </c>
      <c r="I76">
        <f t="shared" si="4"/>
        <v>35.9</v>
      </c>
      <c r="J76">
        <f t="shared" si="5"/>
        <v>55.5</v>
      </c>
    </row>
    <row r="77" spans="1:10">
      <c r="A77">
        <v>76</v>
      </c>
      <c r="B77" t="s">
        <v>97</v>
      </c>
      <c r="C77" t="s">
        <v>31</v>
      </c>
      <c r="D77" t="s">
        <v>16</v>
      </c>
      <c r="E77">
        <v>90</v>
      </c>
      <c r="F77">
        <v>40</v>
      </c>
      <c r="G77">
        <v>4.9</v>
      </c>
      <c r="H77" t="s">
        <v>21</v>
      </c>
      <c r="I77">
        <f t="shared" si="4"/>
        <v>49.4</v>
      </c>
      <c r="J77">
        <f t="shared" si="5"/>
        <v>78.5</v>
      </c>
    </row>
    <row r="78" spans="1:10">
      <c r="A78">
        <v>77</v>
      </c>
      <c r="B78" t="s">
        <v>98</v>
      </c>
      <c r="C78" t="s">
        <v>23</v>
      </c>
      <c r="D78" t="s">
        <v>25</v>
      </c>
      <c r="E78">
        <v>65</v>
      </c>
      <c r="F78">
        <v>50</v>
      </c>
      <c r="G78">
        <v>4.2</v>
      </c>
      <c r="H78" t="s">
        <v>13</v>
      </c>
      <c r="I78">
        <f t="shared" si="4"/>
        <v>40.2</v>
      </c>
      <c r="J78">
        <f t="shared" si="5"/>
        <v>57</v>
      </c>
    </row>
    <row r="79" spans="1:10">
      <c r="A79">
        <v>78</v>
      </c>
      <c r="B79" t="s">
        <v>99</v>
      </c>
      <c r="C79" t="s">
        <v>23</v>
      </c>
      <c r="D79" t="s">
        <v>20</v>
      </c>
      <c r="E79">
        <v>75</v>
      </c>
      <c r="F79">
        <v>80</v>
      </c>
      <c r="G79">
        <v>4.4</v>
      </c>
      <c r="H79" t="s">
        <v>13</v>
      </c>
      <c r="I79">
        <f t="shared" si="4"/>
        <v>50.4</v>
      </c>
      <c r="J79">
        <f t="shared" si="5"/>
        <v>68</v>
      </c>
    </row>
    <row r="80" spans="1:10">
      <c r="A80">
        <v>79</v>
      </c>
      <c r="B80" t="s">
        <v>100</v>
      </c>
      <c r="C80" t="s">
        <v>15</v>
      </c>
      <c r="D80" t="s">
        <v>12</v>
      </c>
      <c r="E80">
        <v>90</v>
      </c>
      <c r="F80">
        <v>50</v>
      </c>
      <c r="G80">
        <v>4.2</v>
      </c>
      <c r="H80" t="s">
        <v>21</v>
      </c>
      <c r="I80">
        <f t="shared" si="4"/>
        <v>50.7</v>
      </c>
      <c r="J80">
        <f t="shared" si="5"/>
        <v>77</v>
      </c>
    </row>
    <row r="81" spans="1:10">
      <c r="A81">
        <v>80</v>
      </c>
      <c r="B81" t="s">
        <v>101</v>
      </c>
      <c r="C81" t="s">
        <v>31</v>
      </c>
      <c r="D81" t="s">
        <v>18</v>
      </c>
      <c r="E81">
        <v>90</v>
      </c>
      <c r="F81">
        <v>40</v>
      </c>
      <c r="G81">
        <v>3.7</v>
      </c>
      <c r="H81" t="s">
        <v>13</v>
      </c>
      <c r="I81">
        <f t="shared" si="4"/>
        <v>47.7</v>
      </c>
      <c r="J81">
        <f t="shared" si="5"/>
        <v>62.5</v>
      </c>
    </row>
    <row r="82" spans="1:10">
      <c r="A82">
        <v>81</v>
      </c>
      <c r="B82" t="s">
        <v>102</v>
      </c>
      <c r="C82" t="s">
        <v>29</v>
      </c>
      <c r="D82" t="s">
        <v>20</v>
      </c>
      <c r="E82">
        <v>65</v>
      </c>
      <c r="F82">
        <v>70</v>
      </c>
      <c r="G82">
        <v>4</v>
      </c>
      <c r="H82" t="s">
        <v>13</v>
      </c>
      <c r="I82">
        <f t="shared" si="4"/>
        <v>44</v>
      </c>
      <c r="J82">
        <f t="shared" si="5"/>
        <v>60</v>
      </c>
    </row>
    <row r="83" spans="1:10">
      <c r="A83">
        <v>82</v>
      </c>
      <c r="B83" t="s">
        <v>103</v>
      </c>
      <c r="C83" t="s">
        <v>15</v>
      </c>
      <c r="D83" t="s">
        <v>12</v>
      </c>
      <c r="E83">
        <v>50</v>
      </c>
      <c r="F83">
        <v>40</v>
      </c>
      <c r="G83">
        <v>4.4</v>
      </c>
      <c r="H83" t="s">
        <v>13</v>
      </c>
      <c r="I83">
        <f t="shared" si="4"/>
        <v>32.4</v>
      </c>
      <c r="J83">
        <f t="shared" si="5"/>
        <v>50</v>
      </c>
    </row>
    <row r="84" spans="1:10">
      <c r="A84">
        <v>83</v>
      </c>
      <c r="B84" t="s">
        <v>104</v>
      </c>
      <c r="C84" t="s">
        <v>29</v>
      </c>
      <c r="D84" t="s">
        <v>16</v>
      </c>
      <c r="E84">
        <v>50</v>
      </c>
      <c r="F84">
        <v>55</v>
      </c>
      <c r="G84">
        <v>6</v>
      </c>
      <c r="H84" t="s">
        <v>21</v>
      </c>
      <c r="I84">
        <f t="shared" si="4"/>
        <v>37.5</v>
      </c>
      <c r="J84">
        <f t="shared" si="5"/>
        <v>71</v>
      </c>
    </row>
    <row r="85" spans="1:10">
      <c r="A85">
        <v>84</v>
      </c>
      <c r="B85" t="s">
        <v>105</v>
      </c>
      <c r="C85" t="s">
        <v>15</v>
      </c>
      <c r="D85" t="s">
        <v>18</v>
      </c>
      <c r="E85">
        <v>55</v>
      </c>
      <c r="F85">
        <v>55</v>
      </c>
      <c r="G85">
        <v>4.4</v>
      </c>
      <c r="H85" t="s">
        <v>13</v>
      </c>
      <c r="I85">
        <f t="shared" si="4"/>
        <v>37.4</v>
      </c>
      <c r="J85">
        <f t="shared" si="5"/>
        <v>55</v>
      </c>
    </row>
    <row r="86" spans="1:10">
      <c r="A86">
        <v>85</v>
      </c>
      <c r="B86" t="s">
        <v>106</v>
      </c>
      <c r="C86" t="s">
        <v>15</v>
      </c>
      <c r="D86" t="s">
        <v>20</v>
      </c>
      <c r="E86">
        <v>60</v>
      </c>
      <c r="F86">
        <v>60</v>
      </c>
      <c r="G86">
        <v>4</v>
      </c>
      <c r="H86" t="s">
        <v>13</v>
      </c>
      <c r="I86">
        <f t="shared" si="4"/>
        <v>40</v>
      </c>
      <c r="J86">
        <f t="shared" si="5"/>
        <v>56</v>
      </c>
    </row>
    <row r="87" spans="1:10">
      <c r="A87">
        <v>86</v>
      </c>
      <c r="B87" t="s">
        <v>107</v>
      </c>
      <c r="C87" t="s">
        <v>31</v>
      </c>
      <c r="D87" t="s">
        <v>20</v>
      </c>
      <c r="E87">
        <v>70</v>
      </c>
      <c r="F87">
        <v>80</v>
      </c>
      <c r="G87">
        <v>4.4</v>
      </c>
      <c r="H87" t="s">
        <v>21</v>
      </c>
      <c r="I87">
        <f t="shared" si="4"/>
        <v>48.9</v>
      </c>
      <c r="J87">
        <f t="shared" si="5"/>
        <v>76</v>
      </c>
    </row>
    <row r="88" spans="1:10">
      <c r="A88">
        <v>87</v>
      </c>
      <c r="B88" t="s">
        <v>108</v>
      </c>
      <c r="C88" t="s">
        <v>15</v>
      </c>
      <c r="D88" t="s">
        <v>25</v>
      </c>
      <c r="E88">
        <v>55</v>
      </c>
      <c r="F88">
        <v>50</v>
      </c>
      <c r="G88">
        <v>4</v>
      </c>
      <c r="H88" t="s">
        <v>21</v>
      </c>
      <c r="I88">
        <f t="shared" si="4"/>
        <v>36.5</v>
      </c>
      <c r="J88">
        <f t="shared" si="5"/>
        <v>62</v>
      </c>
    </row>
    <row r="89" spans="1:10">
      <c r="A89">
        <v>88</v>
      </c>
      <c r="B89" t="s">
        <v>109</v>
      </c>
      <c r="C89" t="s">
        <v>11</v>
      </c>
      <c r="D89" t="s">
        <v>16</v>
      </c>
      <c r="E89">
        <v>65</v>
      </c>
      <c r="F89">
        <v>65</v>
      </c>
      <c r="G89">
        <v>4.4</v>
      </c>
      <c r="H89" t="s">
        <v>13</v>
      </c>
      <c r="I89">
        <f t="shared" si="4"/>
        <v>43.4</v>
      </c>
      <c r="J89">
        <f t="shared" si="5"/>
        <v>61</v>
      </c>
    </row>
    <row r="90" spans="1:10">
      <c r="A90">
        <v>89</v>
      </c>
      <c r="B90" t="s">
        <v>110</v>
      </c>
      <c r="C90" t="s">
        <v>29</v>
      </c>
      <c r="D90" t="s">
        <v>18</v>
      </c>
      <c r="E90">
        <v>90</v>
      </c>
      <c r="F90">
        <v>65</v>
      </c>
      <c r="G90">
        <v>6</v>
      </c>
      <c r="H90" t="s">
        <v>13</v>
      </c>
      <c r="I90">
        <f t="shared" si="4"/>
        <v>55</v>
      </c>
      <c r="J90">
        <f t="shared" si="5"/>
        <v>79</v>
      </c>
    </row>
    <row r="91" spans="1:10">
      <c r="A91">
        <v>90</v>
      </c>
      <c r="B91" t="s">
        <v>111</v>
      </c>
      <c r="C91" t="s">
        <v>29</v>
      </c>
      <c r="D91" t="s">
        <v>16</v>
      </c>
      <c r="E91">
        <v>80</v>
      </c>
      <c r="F91">
        <v>70</v>
      </c>
      <c r="G91">
        <v>3.9</v>
      </c>
      <c r="H91" t="s">
        <v>21</v>
      </c>
      <c r="I91">
        <f t="shared" si="4"/>
        <v>50.4</v>
      </c>
      <c r="J91">
        <f t="shared" si="5"/>
        <v>75.5</v>
      </c>
    </row>
    <row r="92" spans="1:10">
      <c r="A92">
        <v>91</v>
      </c>
      <c r="B92" t="s">
        <v>112</v>
      </c>
      <c r="C92" t="s">
        <v>29</v>
      </c>
      <c r="D92" t="s">
        <v>18</v>
      </c>
      <c r="E92">
        <v>70</v>
      </c>
      <c r="F92">
        <v>85</v>
      </c>
      <c r="G92">
        <v>4.9</v>
      </c>
      <c r="H92" t="s">
        <v>13</v>
      </c>
      <c r="I92">
        <f t="shared" si="4"/>
        <v>49.9</v>
      </c>
      <c r="J92">
        <f t="shared" si="5"/>
        <v>69.5</v>
      </c>
    </row>
    <row r="93" spans="1:10">
      <c r="A93">
        <v>92</v>
      </c>
      <c r="B93" t="s">
        <v>113</v>
      </c>
      <c r="C93" t="s">
        <v>15</v>
      </c>
      <c r="D93" t="s">
        <v>16</v>
      </c>
      <c r="E93">
        <v>80</v>
      </c>
      <c r="F93">
        <v>60</v>
      </c>
      <c r="G93">
        <v>4.2</v>
      </c>
      <c r="H93" t="s">
        <v>13</v>
      </c>
      <c r="I93">
        <f t="shared" si="4"/>
        <v>48.2</v>
      </c>
      <c r="J93">
        <f t="shared" si="5"/>
        <v>65</v>
      </c>
    </row>
    <row r="94" spans="1:10">
      <c r="A94">
        <v>93</v>
      </c>
      <c r="B94" t="s">
        <v>114</v>
      </c>
      <c r="C94" t="s">
        <v>11</v>
      </c>
      <c r="D94" t="s">
        <v>20</v>
      </c>
      <c r="E94">
        <v>75</v>
      </c>
      <c r="F94">
        <v>85</v>
      </c>
      <c r="G94">
        <v>3.9</v>
      </c>
      <c r="H94" t="s">
        <v>21</v>
      </c>
      <c r="I94">
        <f t="shared" si="4"/>
        <v>51.4</v>
      </c>
      <c r="J94">
        <f t="shared" si="5"/>
        <v>76.5</v>
      </c>
    </row>
    <row r="95" spans="1:10">
      <c r="A95">
        <v>94</v>
      </c>
      <c r="B95" t="s">
        <v>115</v>
      </c>
      <c r="C95" t="s">
        <v>31</v>
      </c>
      <c r="D95" t="s">
        <v>18</v>
      </c>
      <c r="E95">
        <v>90</v>
      </c>
      <c r="F95">
        <v>40</v>
      </c>
      <c r="G95">
        <v>4.5</v>
      </c>
      <c r="H95" t="s">
        <v>13</v>
      </c>
      <c r="I95">
        <f t="shared" si="4"/>
        <v>48.5</v>
      </c>
      <c r="J95">
        <f t="shared" si="5"/>
        <v>66.5</v>
      </c>
    </row>
    <row r="96" spans="1:10">
      <c r="A96">
        <v>95</v>
      </c>
      <c r="B96" t="s">
        <v>116</v>
      </c>
      <c r="C96" t="s">
        <v>11</v>
      </c>
      <c r="D96" t="s">
        <v>25</v>
      </c>
      <c r="E96">
        <v>80</v>
      </c>
      <c r="F96">
        <v>80</v>
      </c>
      <c r="G96">
        <v>4.2</v>
      </c>
      <c r="H96" t="s">
        <v>21</v>
      </c>
      <c r="I96">
        <f t="shared" si="4"/>
        <v>52.7</v>
      </c>
      <c r="J96">
        <f t="shared" si="5"/>
        <v>79</v>
      </c>
    </row>
    <row r="97" spans="1:10">
      <c r="A97">
        <v>96</v>
      </c>
      <c r="B97" t="s">
        <v>117</v>
      </c>
      <c r="C97" t="s">
        <v>31</v>
      </c>
      <c r="D97" t="s">
        <v>25</v>
      </c>
      <c r="E97">
        <v>70</v>
      </c>
      <c r="F97">
        <v>50</v>
      </c>
      <c r="G97">
        <v>4.5</v>
      </c>
      <c r="H97" t="s">
        <v>21</v>
      </c>
      <c r="I97">
        <f t="shared" si="4"/>
        <v>43</v>
      </c>
      <c r="J97">
        <f t="shared" si="5"/>
        <v>70.5</v>
      </c>
    </row>
    <row r="98" spans="1:10">
      <c r="A98">
        <v>97</v>
      </c>
      <c r="B98" t="s">
        <v>118</v>
      </c>
      <c r="C98" t="s">
        <v>29</v>
      </c>
      <c r="D98" t="s">
        <v>25</v>
      </c>
      <c r="E98">
        <v>70</v>
      </c>
      <c r="F98">
        <v>45</v>
      </c>
      <c r="G98">
        <v>4</v>
      </c>
      <c r="H98" t="s">
        <v>13</v>
      </c>
      <c r="I98">
        <f t="shared" si="4"/>
        <v>41</v>
      </c>
      <c r="J98">
        <f t="shared" si="5"/>
        <v>57</v>
      </c>
    </row>
    <row r="99" spans="1:10">
      <c r="A99">
        <v>98</v>
      </c>
      <c r="B99" t="s">
        <v>119</v>
      </c>
      <c r="C99" t="s">
        <v>31</v>
      </c>
      <c r="D99" t="s">
        <v>20</v>
      </c>
      <c r="E99">
        <v>80</v>
      </c>
      <c r="F99">
        <v>75</v>
      </c>
      <c r="G99">
        <v>3.7</v>
      </c>
      <c r="H99" t="s">
        <v>13</v>
      </c>
      <c r="I99">
        <f t="shared" si="4"/>
        <v>50.7</v>
      </c>
      <c r="J99">
        <f t="shared" si="5"/>
        <v>65.5</v>
      </c>
    </row>
    <row r="100" spans="1:10">
      <c r="A100">
        <v>99</v>
      </c>
      <c r="B100" t="s">
        <v>120</v>
      </c>
      <c r="C100" t="s">
        <v>15</v>
      </c>
      <c r="D100" t="s">
        <v>12</v>
      </c>
      <c r="E100">
        <v>65</v>
      </c>
      <c r="F100">
        <v>55</v>
      </c>
      <c r="G100">
        <v>6</v>
      </c>
      <c r="H100" t="s">
        <v>21</v>
      </c>
      <c r="I100">
        <f t="shared" si="4"/>
        <v>43.5</v>
      </c>
      <c r="J100">
        <f t="shared" si="5"/>
        <v>77</v>
      </c>
    </row>
    <row r="101" spans="1:10">
      <c r="A101">
        <v>100</v>
      </c>
      <c r="B101" t="s">
        <v>121</v>
      </c>
      <c r="C101" t="s">
        <v>11</v>
      </c>
      <c r="D101" t="s">
        <v>18</v>
      </c>
      <c r="E101">
        <v>75</v>
      </c>
      <c r="F101">
        <v>85</v>
      </c>
      <c r="G101">
        <v>4.4</v>
      </c>
      <c r="H101" t="s">
        <v>13</v>
      </c>
      <c r="I101">
        <f t="shared" si="4"/>
        <v>51.4</v>
      </c>
      <c r="J101">
        <f t="shared" si="5"/>
        <v>69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E4" sqref="E4"/>
    </sheetView>
  </sheetViews>
  <sheetFormatPr defaultColWidth="8.8" defaultRowHeight="13.8" outlineLevelCol="1"/>
  <cols>
    <col min="1" max="1" width="25"/>
    <col min="2" max="3" width="20.1"/>
    <col min="4" max="4" width="11.3"/>
    <col min="5" max="5" width="28.7"/>
    <col min="6" max="6" width="11.8"/>
    <col min="7" max="7" width="25"/>
    <col min="8" max="9" width="18.8"/>
    <col min="10" max="10" width="11.3"/>
    <col min="11" max="14" width="18.8"/>
    <col min="15" max="15" width="11.3"/>
  </cols>
  <sheetData>
    <row r="3" spans="1:2">
      <c r="A3" t="s">
        <v>2</v>
      </c>
      <c r="B3" t="s">
        <v>122</v>
      </c>
    </row>
    <row r="4" spans="1:2">
      <c r="A4" t="s">
        <v>23</v>
      </c>
      <c r="B4">
        <v>46.3214285714286</v>
      </c>
    </row>
    <row r="5" spans="1:2">
      <c r="A5" t="s">
        <v>15</v>
      </c>
      <c r="B5">
        <v>44.225</v>
      </c>
    </row>
    <row r="6" spans="1:2">
      <c r="A6" t="s">
        <v>31</v>
      </c>
      <c r="B6">
        <v>48.21875</v>
      </c>
    </row>
    <row r="7" spans="1:2">
      <c r="A7" t="s">
        <v>29</v>
      </c>
      <c r="B7">
        <v>44.456</v>
      </c>
    </row>
    <row r="8" spans="1:2">
      <c r="A8" t="s">
        <v>11</v>
      </c>
      <c r="B8">
        <v>46.2647058823529</v>
      </c>
    </row>
    <row r="9" spans="1:2">
      <c r="A9" t="s">
        <v>123</v>
      </c>
      <c r="B9">
        <v>45.562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D12"/>
  <sheetViews>
    <sheetView workbookViewId="0">
      <selection activeCell="B26" sqref="B26"/>
    </sheetView>
  </sheetViews>
  <sheetFormatPr defaultColWidth="8.8" defaultRowHeight="13.8" outlineLevelCol="3"/>
  <cols>
    <col min="3" max="3" width="13.8" customWidth="1"/>
    <col min="4" max="4" width="33.9" customWidth="1"/>
  </cols>
  <sheetData>
    <row r="6" spans="3:4">
      <c r="C6" t="s">
        <v>3</v>
      </c>
      <c r="D6" t="s">
        <v>122</v>
      </c>
    </row>
    <row r="7" spans="3:4">
      <c r="C7" t="s">
        <v>18</v>
      </c>
      <c r="D7">
        <v>44.4454545454545</v>
      </c>
    </row>
    <row r="8" spans="3:4">
      <c r="C8" t="s">
        <v>25</v>
      </c>
      <c r="D8">
        <v>45.1888888888889</v>
      </c>
    </row>
    <row r="9" spans="3:4">
      <c r="C9" t="s">
        <v>20</v>
      </c>
      <c r="D9">
        <v>46.008</v>
      </c>
    </row>
    <row r="10" spans="3:4">
      <c r="C10" t="s">
        <v>12</v>
      </c>
      <c r="D10">
        <v>45.875</v>
      </c>
    </row>
    <row r="11" spans="3:4">
      <c r="C11" t="s">
        <v>16</v>
      </c>
      <c r="D11">
        <v>46.4866666666667</v>
      </c>
    </row>
    <row r="12" spans="3:4">
      <c r="C12" t="s">
        <v>123</v>
      </c>
      <c r="D12">
        <v>45.562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D9"/>
  <sheetViews>
    <sheetView workbookViewId="0">
      <selection activeCell="H10" sqref="H10"/>
    </sheetView>
  </sheetViews>
  <sheetFormatPr defaultColWidth="8.8" defaultRowHeight="13.8" outlineLevelCol="3"/>
  <cols>
    <col min="3" max="3" width="25.6" customWidth="1"/>
    <col min="4" max="4" width="28.9" customWidth="1"/>
  </cols>
  <sheetData>
    <row r="6" spans="3:4">
      <c r="C6" t="s">
        <v>7</v>
      </c>
      <c r="D6" t="s">
        <v>122</v>
      </c>
    </row>
    <row r="7" spans="3:4">
      <c r="C7" t="s">
        <v>13</v>
      </c>
      <c r="D7">
        <v>45.9409836065574</v>
      </c>
    </row>
    <row r="8" spans="3:4">
      <c r="C8" t="s">
        <v>21</v>
      </c>
      <c r="D8">
        <v>44.9692307692308</v>
      </c>
    </row>
    <row r="9" spans="3:4">
      <c r="C9" t="s">
        <v>123</v>
      </c>
      <c r="D9">
        <v>45.562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0:J20"/>
  <sheetViews>
    <sheetView workbookViewId="0">
      <selection activeCell="E1" sqref="E1"/>
    </sheetView>
  </sheetViews>
  <sheetFormatPr defaultColWidth="8.8" defaultRowHeight="13.8"/>
  <cols>
    <col min="4" max="4" width="25.1" customWidth="1"/>
    <col min="5" max="5" width="18.7" customWidth="1"/>
    <col min="10" max="10" width="12.4" customWidth="1"/>
  </cols>
  <sheetData>
    <row r="10" spans="4:5">
      <c r="D10" t="s">
        <v>124</v>
      </c>
      <c r="E10" t="s">
        <v>4</v>
      </c>
    </row>
    <row r="11" spans="4:10">
      <c r="D11" t="s">
        <v>6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123</v>
      </c>
    </row>
    <row r="12" spans="4:10">
      <c r="D12" t="s">
        <v>130</v>
      </c>
      <c r="E12">
        <v>70.5</v>
      </c>
      <c r="F12">
        <v>166.5</v>
      </c>
      <c r="G12">
        <v>132.1</v>
      </c>
      <c r="H12">
        <v>351.4</v>
      </c>
      <c r="I12">
        <v>47.7</v>
      </c>
      <c r="J12">
        <v>768.2</v>
      </c>
    </row>
    <row r="13" spans="4:10">
      <c r="D13" t="s">
        <v>131</v>
      </c>
      <c r="F13">
        <v>166.6</v>
      </c>
      <c r="G13">
        <v>224.5</v>
      </c>
      <c r="H13">
        <v>50.4</v>
      </c>
      <c r="I13">
        <v>52.9</v>
      </c>
      <c r="J13">
        <v>494.4</v>
      </c>
    </row>
    <row r="14" spans="4:10">
      <c r="D14" t="s">
        <v>132</v>
      </c>
      <c r="E14">
        <v>149.5</v>
      </c>
      <c r="F14">
        <v>255</v>
      </c>
      <c r="G14">
        <v>86</v>
      </c>
      <c r="H14">
        <v>51.5</v>
      </c>
      <c r="I14">
        <v>151</v>
      </c>
      <c r="J14">
        <v>693</v>
      </c>
    </row>
    <row r="15" spans="4:10">
      <c r="D15" t="s">
        <v>133</v>
      </c>
      <c r="E15">
        <v>76.9</v>
      </c>
      <c r="F15">
        <v>85.9</v>
      </c>
      <c r="G15">
        <v>95.4</v>
      </c>
      <c r="H15">
        <v>150.1</v>
      </c>
      <c r="I15">
        <v>102.9</v>
      </c>
      <c r="J15">
        <v>511.2</v>
      </c>
    </row>
    <row r="16" spans="4:10">
      <c r="D16" t="s">
        <v>134</v>
      </c>
      <c r="E16">
        <v>69.8</v>
      </c>
      <c r="F16">
        <v>79.8</v>
      </c>
      <c r="G16">
        <v>150.7</v>
      </c>
      <c r="H16">
        <v>46.4</v>
      </c>
      <c r="I16">
        <v>117.1</v>
      </c>
      <c r="J16">
        <v>463.8</v>
      </c>
    </row>
    <row r="17" spans="4:10">
      <c r="D17" t="s">
        <v>135</v>
      </c>
      <c r="E17">
        <v>154</v>
      </c>
      <c r="G17">
        <v>232</v>
      </c>
      <c r="H17">
        <v>149</v>
      </c>
      <c r="I17">
        <v>103</v>
      </c>
      <c r="J17">
        <v>638</v>
      </c>
    </row>
    <row r="18" spans="4:10">
      <c r="D18" t="s">
        <v>136</v>
      </c>
      <c r="E18">
        <v>115.7</v>
      </c>
      <c r="F18">
        <v>41.4</v>
      </c>
      <c r="G18">
        <v>49.9</v>
      </c>
      <c r="H18">
        <v>110.3</v>
      </c>
      <c r="I18">
        <v>103.8</v>
      </c>
      <c r="J18">
        <v>421.1</v>
      </c>
    </row>
    <row r="19" spans="4:10">
      <c r="D19" t="s">
        <v>137</v>
      </c>
      <c r="E19">
        <v>123.5</v>
      </c>
      <c r="F19">
        <v>130</v>
      </c>
      <c r="G19">
        <v>48</v>
      </c>
      <c r="H19">
        <v>46</v>
      </c>
      <c r="I19">
        <v>219</v>
      </c>
      <c r="J19">
        <v>566.5</v>
      </c>
    </row>
    <row r="20" spans="4:10">
      <c r="D20" t="s">
        <v>123</v>
      </c>
      <c r="E20">
        <v>759.9</v>
      </c>
      <c r="F20">
        <v>925.2</v>
      </c>
      <c r="G20">
        <v>1018.6</v>
      </c>
      <c r="H20">
        <v>955.1</v>
      </c>
      <c r="I20">
        <v>897.4</v>
      </c>
      <c r="J20">
        <v>4556.2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F15"/>
  <sheetViews>
    <sheetView workbookViewId="0">
      <selection activeCell="F27" sqref="F27"/>
    </sheetView>
  </sheetViews>
  <sheetFormatPr defaultColWidth="8.8" defaultRowHeight="13.8" outlineLevelCol="5"/>
  <cols>
    <col min="3" max="3" width="28.7"/>
    <col min="4" max="5" width="20.1"/>
    <col min="6" max="6" width="12.8"/>
  </cols>
  <sheetData>
    <row r="8" spans="3:4">
      <c r="C8" t="s">
        <v>122</v>
      </c>
      <c r="D8" t="s">
        <v>7</v>
      </c>
    </row>
    <row r="9" spans="3:6">
      <c r="C9" t="s">
        <v>2</v>
      </c>
      <c r="D9" t="s">
        <v>13</v>
      </c>
      <c r="E9" t="s">
        <v>21</v>
      </c>
      <c r="F9" t="s">
        <v>123</v>
      </c>
    </row>
    <row r="10" spans="3:6">
      <c r="C10" t="s">
        <v>23</v>
      </c>
      <c r="D10">
        <v>46.4166666666667</v>
      </c>
      <c r="E10">
        <v>45.75</v>
      </c>
      <c r="F10">
        <v>46.3214285714286</v>
      </c>
    </row>
    <row r="11" spans="3:6">
      <c r="C11" t="s">
        <v>15</v>
      </c>
      <c r="D11">
        <v>43.5055555555556</v>
      </c>
      <c r="E11">
        <v>45.52</v>
      </c>
      <c r="F11">
        <v>44.225</v>
      </c>
    </row>
    <row r="12" spans="3:6">
      <c r="C12" t="s">
        <v>31</v>
      </c>
      <c r="D12">
        <v>50.8571428571429</v>
      </c>
      <c r="E12">
        <v>46.1666666666667</v>
      </c>
      <c r="F12">
        <v>48.21875</v>
      </c>
    </row>
    <row r="13" spans="3:6">
      <c r="C13" t="s">
        <v>29</v>
      </c>
      <c r="D13">
        <v>45.94</v>
      </c>
      <c r="E13">
        <v>42.23</v>
      </c>
      <c r="F13">
        <v>44.456</v>
      </c>
    </row>
    <row r="14" spans="3:6">
      <c r="C14" t="s">
        <v>11</v>
      </c>
      <c r="D14">
        <v>46.3555555555556</v>
      </c>
      <c r="E14">
        <v>46.1625</v>
      </c>
      <c r="F14">
        <v>46.2647058823529</v>
      </c>
    </row>
    <row r="15" spans="3:6">
      <c r="C15" t="s">
        <v>123</v>
      </c>
      <c r="D15">
        <v>45.9409836065574</v>
      </c>
      <c r="E15">
        <v>44.9692307692308</v>
      </c>
      <c r="F15">
        <v>45.562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D105"/>
  <sheetViews>
    <sheetView workbookViewId="0">
      <selection activeCell="F6" sqref="F6"/>
    </sheetView>
  </sheetViews>
  <sheetFormatPr defaultColWidth="8.8" defaultRowHeight="13.8" outlineLevelCol="3"/>
  <cols>
    <col min="3" max="3" width="11.6" customWidth="1"/>
    <col min="4" max="4" width="22.4" customWidth="1"/>
  </cols>
  <sheetData>
    <row r="4" spans="3:4">
      <c r="C4" t="s">
        <v>1</v>
      </c>
      <c r="D4" t="s">
        <v>124</v>
      </c>
    </row>
    <row r="5" spans="3:4">
      <c r="C5" t="s">
        <v>10</v>
      </c>
      <c r="D5">
        <v>63.2</v>
      </c>
    </row>
    <row r="6" spans="3:4">
      <c r="C6" t="s">
        <v>43</v>
      </c>
      <c r="D6">
        <v>59</v>
      </c>
    </row>
    <row r="7" spans="3:4">
      <c r="C7" t="s">
        <v>80</v>
      </c>
      <c r="D7">
        <v>55.9</v>
      </c>
    </row>
    <row r="8" spans="3:4">
      <c r="C8" t="s">
        <v>30</v>
      </c>
      <c r="D8">
        <v>55.5</v>
      </c>
    </row>
    <row r="9" spans="3:4">
      <c r="C9" t="s">
        <v>93</v>
      </c>
      <c r="D9">
        <v>55</v>
      </c>
    </row>
    <row r="10" spans="3:4">
      <c r="C10" t="s">
        <v>110</v>
      </c>
      <c r="D10">
        <v>55</v>
      </c>
    </row>
    <row r="11" spans="3:4">
      <c r="C11" t="s">
        <v>72</v>
      </c>
      <c r="D11">
        <v>54.5</v>
      </c>
    </row>
    <row r="12" spans="3:4">
      <c r="C12" t="s">
        <v>79</v>
      </c>
      <c r="D12">
        <v>54.4</v>
      </c>
    </row>
    <row r="13" spans="3:4">
      <c r="C13" t="s">
        <v>19</v>
      </c>
      <c r="D13">
        <v>54.4</v>
      </c>
    </row>
    <row r="14" spans="3:4">
      <c r="C14" t="s">
        <v>66</v>
      </c>
      <c r="D14">
        <v>53.9</v>
      </c>
    </row>
    <row r="15" spans="3:4">
      <c r="C15" t="s">
        <v>56</v>
      </c>
      <c r="D15">
        <v>52.9</v>
      </c>
    </row>
    <row r="16" spans="3:4">
      <c r="C16" t="s">
        <v>74</v>
      </c>
      <c r="D16">
        <v>52.7</v>
      </c>
    </row>
    <row r="17" spans="3:4">
      <c r="C17" t="s">
        <v>116</v>
      </c>
      <c r="D17">
        <v>52.7</v>
      </c>
    </row>
    <row r="18" spans="3:4">
      <c r="C18" t="s">
        <v>41</v>
      </c>
      <c r="D18">
        <v>52.3</v>
      </c>
    </row>
    <row r="19" spans="3:4">
      <c r="C19" t="s">
        <v>83</v>
      </c>
      <c r="D19">
        <v>52.3</v>
      </c>
    </row>
    <row r="20" spans="3:4">
      <c r="C20" t="s">
        <v>61</v>
      </c>
      <c r="D20">
        <v>52.2</v>
      </c>
    </row>
    <row r="21" spans="3:4">
      <c r="C21" t="s">
        <v>22</v>
      </c>
      <c r="D21">
        <v>52</v>
      </c>
    </row>
    <row r="22" spans="3:4">
      <c r="C22" t="s">
        <v>81</v>
      </c>
      <c r="D22">
        <v>51.5</v>
      </c>
    </row>
    <row r="23" spans="3:4">
      <c r="C23" t="s">
        <v>121</v>
      </c>
      <c r="D23">
        <v>51.4</v>
      </c>
    </row>
    <row r="24" spans="3:4">
      <c r="C24" t="s">
        <v>114</v>
      </c>
      <c r="D24">
        <v>51.4</v>
      </c>
    </row>
    <row r="25" spans="3:4">
      <c r="C25" t="s">
        <v>47</v>
      </c>
      <c r="D25">
        <v>51</v>
      </c>
    </row>
    <row r="26" spans="3:4">
      <c r="C26" t="s">
        <v>119</v>
      </c>
      <c r="D26">
        <v>50.7</v>
      </c>
    </row>
    <row r="27" spans="3:4">
      <c r="C27" t="s">
        <v>100</v>
      </c>
      <c r="D27">
        <v>50.7</v>
      </c>
    </row>
    <row r="28" spans="3:4">
      <c r="C28" t="s">
        <v>86</v>
      </c>
      <c r="D28">
        <v>50.5</v>
      </c>
    </row>
    <row r="29" spans="3:4">
      <c r="C29" t="s">
        <v>111</v>
      </c>
      <c r="D29">
        <v>50.4</v>
      </c>
    </row>
    <row r="30" spans="3:4">
      <c r="C30" t="s">
        <v>99</v>
      </c>
      <c r="D30">
        <v>50.4</v>
      </c>
    </row>
    <row r="31" spans="3:4">
      <c r="C31" t="s">
        <v>36</v>
      </c>
      <c r="D31">
        <v>50</v>
      </c>
    </row>
    <row r="32" spans="3:4">
      <c r="C32" t="s">
        <v>112</v>
      </c>
      <c r="D32">
        <v>49.9</v>
      </c>
    </row>
    <row r="33" spans="3:4">
      <c r="C33" t="s">
        <v>97</v>
      </c>
      <c r="D33">
        <v>49.4</v>
      </c>
    </row>
    <row r="34" spans="3:4">
      <c r="C34" t="s">
        <v>42</v>
      </c>
      <c r="D34">
        <v>49.2</v>
      </c>
    </row>
    <row r="35" spans="3:4">
      <c r="C35" t="s">
        <v>107</v>
      </c>
      <c r="D35">
        <v>48.9</v>
      </c>
    </row>
    <row r="36" spans="3:4">
      <c r="C36" t="s">
        <v>58</v>
      </c>
      <c r="D36">
        <v>48.8</v>
      </c>
    </row>
    <row r="37" spans="3:4">
      <c r="C37" t="s">
        <v>115</v>
      </c>
      <c r="D37">
        <v>48.5</v>
      </c>
    </row>
    <row r="38" spans="3:4">
      <c r="C38" t="s">
        <v>68</v>
      </c>
      <c r="D38">
        <v>48.5</v>
      </c>
    </row>
    <row r="39" spans="3:4">
      <c r="C39" t="s">
        <v>90</v>
      </c>
      <c r="D39">
        <v>48.5</v>
      </c>
    </row>
    <row r="40" spans="3:4">
      <c r="C40" t="s">
        <v>113</v>
      </c>
      <c r="D40">
        <v>48.2</v>
      </c>
    </row>
    <row r="41" spans="3:4">
      <c r="C41" t="s">
        <v>45</v>
      </c>
      <c r="D41">
        <v>48.2</v>
      </c>
    </row>
    <row r="42" spans="3:4">
      <c r="C42" t="s">
        <v>87</v>
      </c>
      <c r="D42">
        <v>48</v>
      </c>
    </row>
    <row r="43" spans="3:4">
      <c r="C43" t="s">
        <v>39</v>
      </c>
      <c r="D43">
        <v>48</v>
      </c>
    </row>
    <row r="44" spans="3:4">
      <c r="C44" t="s">
        <v>101</v>
      </c>
      <c r="D44">
        <v>47.7</v>
      </c>
    </row>
    <row r="45" spans="3:4">
      <c r="C45" t="s">
        <v>67</v>
      </c>
      <c r="D45">
        <v>47.5</v>
      </c>
    </row>
    <row r="46" spans="3:4">
      <c r="C46" t="s">
        <v>78</v>
      </c>
      <c r="D46">
        <v>47.3</v>
      </c>
    </row>
    <row r="47" spans="3:4">
      <c r="C47" t="s">
        <v>59</v>
      </c>
      <c r="D47">
        <v>47.3</v>
      </c>
    </row>
    <row r="48" spans="3:4">
      <c r="C48" t="s">
        <v>40</v>
      </c>
      <c r="D48">
        <v>47.2</v>
      </c>
    </row>
    <row r="49" spans="3:4">
      <c r="C49" t="s">
        <v>82</v>
      </c>
      <c r="D49">
        <v>46.4</v>
      </c>
    </row>
    <row r="50" spans="3:4">
      <c r="C50" t="s">
        <v>84</v>
      </c>
      <c r="D50">
        <v>46</v>
      </c>
    </row>
    <row r="51" spans="3:4">
      <c r="C51" t="s">
        <v>14</v>
      </c>
      <c r="D51">
        <v>46</v>
      </c>
    </row>
    <row r="52" spans="3:4">
      <c r="C52" t="s">
        <v>65</v>
      </c>
      <c r="D52">
        <v>45.7</v>
      </c>
    </row>
    <row r="53" spans="3:4">
      <c r="C53" t="s">
        <v>44</v>
      </c>
      <c r="D53">
        <v>45.5</v>
      </c>
    </row>
    <row r="54" spans="3:4">
      <c r="C54" t="s">
        <v>35</v>
      </c>
      <c r="D54">
        <v>45.3</v>
      </c>
    </row>
    <row r="55" spans="3:4">
      <c r="C55" t="s">
        <v>33</v>
      </c>
      <c r="D55">
        <v>45</v>
      </c>
    </row>
    <row r="56" spans="3:4">
      <c r="C56" t="s">
        <v>70</v>
      </c>
      <c r="D56">
        <v>44.5</v>
      </c>
    </row>
    <row r="57" spans="3:4">
      <c r="C57" t="s">
        <v>53</v>
      </c>
      <c r="D57">
        <v>44.4</v>
      </c>
    </row>
    <row r="58" spans="3:4">
      <c r="C58" t="s">
        <v>24</v>
      </c>
      <c r="D58">
        <v>44.2</v>
      </c>
    </row>
    <row r="59" spans="3:4">
      <c r="C59" t="s">
        <v>73</v>
      </c>
      <c r="D59">
        <v>44.2</v>
      </c>
    </row>
    <row r="60" spans="3:4">
      <c r="C60" t="s">
        <v>50</v>
      </c>
      <c r="D60">
        <v>44</v>
      </c>
    </row>
    <row r="61" spans="3:4">
      <c r="C61" t="s">
        <v>102</v>
      </c>
      <c r="D61">
        <v>44</v>
      </c>
    </row>
    <row r="62" spans="3:4">
      <c r="C62" t="s">
        <v>37</v>
      </c>
      <c r="D62">
        <v>43.9</v>
      </c>
    </row>
    <row r="63" spans="3:4">
      <c r="C63" t="s">
        <v>76</v>
      </c>
      <c r="D63">
        <v>43.9</v>
      </c>
    </row>
    <row r="64" spans="3:4">
      <c r="C64" t="s">
        <v>38</v>
      </c>
      <c r="D64">
        <v>43.7</v>
      </c>
    </row>
    <row r="65" spans="3:4">
      <c r="C65" t="s">
        <v>120</v>
      </c>
      <c r="D65">
        <v>43.5</v>
      </c>
    </row>
    <row r="66" spans="3:4">
      <c r="C66" t="s">
        <v>49</v>
      </c>
      <c r="D66">
        <v>43.4</v>
      </c>
    </row>
    <row r="67" spans="3:4">
      <c r="C67" t="s">
        <v>109</v>
      </c>
      <c r="D67">
        <v>43.4</v>
      </c>
    </row>
    <row r="68" spans="3:4">
      <c r="C68" t="s">
        <v>55</v>
      </c>
      <c r="D68">
        <v>43</v>
      </c>
    </row>
    <row r="69" spans="3:4">
      <c r="C69" t="s">
        <v>117</v>
      </c>
      <c r="D69">
        <v>43</v>
      </c>
    </row>
    <row r="70" spans="3:4">
      <c r="C70" t="s">
        <v>95</v>
      </c>
      <c r="D70">
        <v>43</v>
      </c>
    </row>
    <row r="71" spans="3:4">
      <c r="C71" t="s">
        <v>85</v>
      </c>
      <c r="D71">
        <v>42.9</v>
      </c>
    </row>
    <row r="72" spans="3:4">
      <c r="C72" t="s">
        <v>64</v>
      </c>
      <c r="D72">
        <v>42.9</v>
      </c>
    </row>
    <row r="73" spans="3:4">
      <c r="C73" t="s">
        <v>54</v>
      </c>
      <c r="D73">
        <v>42.9</v>
      </c>
    </row>
    <row r="74" spans="3:4">
      <c r="C74" t="s">
        <v>28</v>
      </c>
      <c r="D74">
        <v>42.7</v>
      </c>
    </row>
    <row r="75" spans="3:4">
      <c r="C75" t="s">
        <v>26</v>
      </c>
      <c r="D75">
        <v>42.5</v>
      </c>
    </row>
    <row r="76" spans="3:4">
      <c r="C76" t="s">
        <v>48</v>
      </c>
      <c r="D76">
        <v>41.5</v>
      </c>
    </row>
    <row r="77" spans="3:4">
      <c r="C77" t="s">
        <v>89</v>
      </c>
      <c r="D77">
        <v>41.5</v>
      </c>
    </row>
    <row r="78" spans="3:4">
      <c r="C78" t="s">
        <v>77</v>
      </c>
      <c r="D78">
        <v>41.4</v>
      </c>
    </row>
    <row r="79" spans="3:4">
      <c r="C79" t="s">
        <v>52</v>
      </c>
      <c r="D79">
        <v>41.2</v>
      </c>
    </row>
    <row r="80" spans="3:4">
      <c r="C80" t="s">
        <v>27</v>
      </c>
      <c r="D80">
        <v>41</v>
      </c>
    </row>
    <row r="81" spans="3:4">
      <c r="C81" t="s">
        <v>118</v>
      </c>
      <c r="D81">
        <v>41</v>
      </c>
    </row>
    <row r="82" spans="3:4">
      <c r="C82" t="s">
        <v>63</v>
      </c>
      <c r="D82">
        <v>41</v>
      </c>
    </row>
    <row r="83" spans="3:4">
      <c r="C83" t="s">
        <v>32</v>
      </c>
      <c r="D83">
        <v>40.4</v>
      </c>
    </row>
    <row r="84" spans="3:4">
      <c r="C84" t="s">
        <v>98</v>
      </c>
      <c r="D84">
        <v>40.2</v>
      </c>
    </row>
    <row r="85" spans="3:4">
      <c r="C85" t="s">
        <v>88</v>
      </c>
      <c r="D85">
        <v>40.2</v>
      </c>
    </row>
    <row r="86" spans="3:4">
      <c r="C86" t="s">
        <v>57</v>
      </c>
      <c r="D86">
        <v>40</v>
      </c>
    </row>
    <row r="87" spans="3:4">
      <c r="C87" t="s">
        <v>106</v>
      </c>
      <c r="D87">
        <v>40</v>
      </c>
    </row>
    <row r="88" spans="3:4">
      <c r="C88" t="s">
        <v>60</v>
      </c>
      <c r="D88">
        <v>39.8</v>
      </c>
    </row>
    <row r="89" spans="3:4">
      <c r="C89" t="s">
        <v>46</v>
      </c>
      <c r="D89">
        <v>39</v>
      </c>
    </row>
    <row r="90" spans="3:4">
      <c r="C90" t="s">
        <v>71</v>
      </c>
      <c r="D90">
        <v>38.4</v>
      </c>
    </row>
    <row r="91" spans="3:4">
      <c r="C91" t="s">
        <v>104</v>
      </c>
      <c r="D91">
        <v>37.5</v>
      </c>
    </row>
    <row r="92" spans="3:4">
      <c r="C92" t="s">
        <v>69</v>
      </c>
      <c r="D92">
        <v>37.5</v>
      </c>
    </row>
    <row r="93" spans="3:4">
      <c r="C93" t="s">
        <v>105</v>
      </c>
      <c r="D93">
        <v>37.4</v>
      </c>
    </row>
    <row r="94" spans="3:4">
      <c r="C94" t="s">
        <v>62</v>
      </c>
      <c r="D94">
        <v>37</v>
      </c>
    </row>
    <row r="95" spans="3:4">
      <c r="C95" t="s">
        <v>94</v>
      </c>
      <c r="D95">
        <v>36.8</v>
      </c>
    </row>
    <row r="96" spans="3:4">
      <c r="C96" t="s">
        <v>91</v>
      </c>
      <c r="D96">
        <v>36.5</v>
      </c>
    </row>
    <row r="97" spans="3:4">
      <c r="C97" t="s">
        <v>108</v>
      </c>
      <c r="D97">
        <v>36.5</v>
      </c>
    </row>
    <row r="98" spans="3:4">
      <c r="C98" t="s">
        <v>51</v>
      </c>
      <c r="D98">
        <v>36.4</v>
      </c>
    </row>
    <row r="99" spans="3:4">
      <c r="C99" t="s">
        <v>17</v>
      </c>
      <c r="D99">
        <v>36.4</v>
      </c>
    </row>
    <row r="100" spans="3:4">
      <c r="C100" t="s">
        <v>96</v>
      </c>
      <c r="D100">
        <v>35.9</v>
      </c>
    </row>
    <row r="101" spans="3:4">
      <c r="C101" t="s">
        <v>75</v>
      </c>
      <c r="D101">
        <v>34.5</v>
      </c>
    </row>
    <row r="102" spans="3:4">
      <c r="C102" t="s">
        <v>34</v>
      </c>
      <c r="D102">
        <v>34.2</v>
      </c>
    </row>
    <row r="103" spans="3:4">
      <c r="C103" t="s">
        <v>92</v>
      </c>
      <c r="D103">
        <v>33.7</v>
      </c>
    </row>
    <row r="104" spans="3:4">
      <c r="C104" t="s">
        <v>103</v>
      </c>
      <c r="D104">
        <v>32.4</v>
      </c>
    </row>
    <row r="105" spans="3:4">
      <c r="C105" t="s">
        <v>123</v>
      </c>
      <c r="D105">
        <v>4556.2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KPI</vt:lpstr>
      <vt:lpstr>department</vt:lpstr>
      <vt:lpstr>job title</vt:lpstr>
      <vt:lpstr> Training Completion Impact </vt:lpstr>
      <vt:lpstr> Feedback &amp; Goals Relationship</vt:lpstr>
      <vt:lpstr> KPI by Training S</vt:lpstr>
      <vt:lpstr>Top Performers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Teja Kamma</cp:lastModifiedBy>
  <dcterms:created xsi:type="dcterms:W3CDTF">2025-07-19T06:01:00Z</dcterms:created>
  <dcterms:modified xsi:type="dcterms:W3CDTF">2025-12-18T09:38:31Z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978BE1F0B1464E93A929C2B1D5C19AC2_12</vt:lpwstr>
  </property>
  <property fmtid="{D5CDD505-2E9C-101B-9397-08002B2CF9AE}" pid="3" name="KSOProductBuildVer">
    <vt:lpwstr>1033-12.2.0.23155</vt:lpwstr>
  </property>
</Properties>
</file>